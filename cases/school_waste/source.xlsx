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arjakuusisto/Desktop/Plate waste article data 23.6.2026/"/>
    </mc:Choice>
  </mc:AlternateContent>
  <xr:revisionPtr revIDLastSave="0" documentId="13_ncr:1_{BCF27F83-554D-9640-BB8E-1AA1112E9C6E}" xr6:coauthVersionLast="47" xr6:coauthVersionMax="47" xr10:uidLastSave="{00000000-0000-0000-0000-000000000000}"/>
  <bookViews>
    <workbookView xWindow="980" yWindow="4900" windowWidth="27820" windowHeight="11880" xr2:uid="{00000000-000D-0000-FFFF-FFFF00000000}"/>
  </bookViews>
  <sheets>
    <sheet name="food waste school meals 2024-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6" i="1" l="1"/>
  <c r="G156" i="1"/>
  <c r="H155" i="1"/>
  <c r="G155" i="1"/>
  <c r="H154" i="1"/>
  <c r="G154" i="1"/>
  <c r="H153" i="1"/>
  <c r="G153" i="1"/>
  <c r="H152" i="1"/>
  <c r="G152" i="1"/>
  <c r="H151" i="1"/>
  <c r="G151" i="1"/>
  <c r="H150" i="1"/>
  <c r="G150" i="1"/>
  <c r="H149" i="1"/>
  <c r="G149" i="1"/>
  <c r="H148" i="1"/>
  <c r="G148" i="1"/>
  <c r="H147" i="1"/>
  <c r="G147" i="1"/>
  <c r="H146" i="1"/>
  <c r="G146" i="1"/>
  <c r="H145" i="1"/>
  <c r="G145" i="1"/>
  <c r="H144" i="1"/>
  <c r="G144" i="1"/>
  <c r="H143" i="1"/>
  <c r="G143" i="1"/>
  <c r="H142" i="1"/>
  <c r="G142" i="1"/>
  <c r="H141" i="1"/>
  <c r="G141" i="1"/>
  <c r="H140" i="1"/>
  <c r="G140" i="1"/>
  <c r="H139" i="1"/>
  <c r="G139" i="1"/>
  <c r="H138" i="1"/>
  <c r="G138" i="1"/>
  <c r="H136" i="1"/>
  <c r="E136" i="1"/>
  <c r="G136" i="1" s="1"/>
  <c r="H135" i="1"/>
  <c r="E135" i="1"/>
  <c r="G135" i="1" s="1"/>
  <c r="H134" i="1"/>
  <c r="G134" i="1"/>
  <c r="E134" i="1"/>
  <c r="H133" i="1"/>
  <c r="E133" i="1"/>
  <c r="G133" i="1" s="1"/>
  <c r="H132" i="1"/>
  <c r="G132" i="1"/>
  <c r="E132" i="1"/>
  <c r="H131" i="1"/>
  <c r="E131" i="1"/>
  <c r="G131" i="1" s="1"/>
  <c r="H130" i="1"/>
  <c r="E130" i="1"/>
  <c r="G130" i="1" s="1"/>
  <c r="H129" i="1"/>
  <c r="E129" i="1"/>
  <c r="G129" i="1" s="1"/>
  <c r="H128" i="1"/>
  <c r="E128" i="1"/>
  <c r="G128" i="1" s="1"/>
  <c r="H127" i="1"/>
  <c r="G127" i="1"/>
  <c r="E127" i="1"/>
  <c r="H126" i="1"/>
  <c r="G126" i="1"/>
  <c r="E126" i="1"/>
  <c r="H125" i="1"/>
  <c r="E125" i="1"/>
  <c r="G125" i="1" s="1"/>
  <c r="H124" i="1"/>
  <c r="G124" i="1"/>
  <c r="E124" i="1"/>
  <c r="H123" i="1"/>
  <c r="E123" i="1"/>
  <c r="G123" i="1" s="1"/>
  <c r="H122" i="1"/>
  <c r="E122" i="1"/>
  <c r="G122" i="1" s="1"/>
  <c r="H121" i="1"/>
  <c r="E121" i="1"/>
  <c r="G121" i="1" s="1"/>
  <c r="H120" i="1"/>
  <c r="E120" i="1"/>
  <c r="G120" i="1" s="1"/>
  <c r="H119" i="1"/>
  <c r="E119" i="1"/>
  <c r="G119" i="1" s="1"/>
  <c r="H118" i="1"/>
  <c r="G118" i="1"/>
  <c r="E118" i="1"/>
  <c r="H117" i="1"/>
  <c r="E117" i="1"/>
  <c r="G117" i="1" s="1"/>
  <c r="H116" i="1"/>
  <c r="G116" i="1"/>
  <c r="E116" i="1"/>
  <c r="H115" i="1"/>
  <c r="E115" i="1"/>
  <c r="G115" i="1" s="1"/>
  <c r="H114" i="1"/>
  <c r="E114" i="1"/>
  <c r="G114" i="1" s="1"/>
  <c r="H113" i="1"/>
  <c r="E113" i="1"/>
  <c r="G113" i="1" s="1"/>
  <c r="H112" i="1"/>
  <c r="E112" i="1"/>
  <c r="G112" i="1" s="1"/>
  <c r="H111" i="1"/>
  <c r="E111" i="1"/>
  <c r="G111" i="1" s="1"/>
  <c r="H110" i="1"/>
  <c r="G110" i="1"/>
  <c r="E110" i="1"/>
  <c r="H109" i="1"/>
  <c r="G109" i="1"/>
  <c r="E109" i="1"/>
  <c r="H108" i="1"/>
  <c r="G108" i="1"/>
  <c r="E108" i="1"/>
  <c r="H107" i="1"/>
  <c r="E107" i="1"/>
  <c r="G107" i="1" s="1"/>
  <c r="H106" i="1"/>
  <c r="G106" i="1"/>
  <c r="E106" i="1"/>
  <c r="H105" i="1"/>
  <c r="E105" i="1"/>
  <c r="G105" i="1" s="1"/>
  <c r="H104" i="1"/>
  <c r="E104" i="1"/>
  <c r="G104" i="1" s="1"/>
  <c r="H103" i="1"/>
  <c r="E103" i="1"/>
  <c r="G103" i="1" s="1"/>
  <c r="H102" i="1"/>
  <c r="G102" i="1"/>
  <c r="E102" i="1"/>
  <c r="H101" i="1"/>
  <c r="E101" i="1"/>
  <c r="G101" i="1" s="1"/>
  <c r="H100" i="1"/>
  <c r="G100" i="1"/>
  <c r="E100" i="1"/>
  <c r="H99" i="1"/>
  <c r="E99" i="1"/>
  <c r="G99" i="1" s="1"/>
  <c r="H98" i="1"/>
  <c r="E98" i="1"/>
  <c r="G98" i="1" s="1"/>
  <c r="H97" i="1"/>
  <c r="G97" i="1"/>
  <c r="E97" i="1"/>
  <c r="H96" i="1"/>
  <c r="E96" i="1"/>
  <c r="G96" i="1" s="1"/>
  <c r="H95" i="1"/>
  <c r="E95" i="1"/>
  <c r="G95" i="1" s="1"/>
  <c r="H94" i="1"/>
  <c r="G94" i="1"/>
  <c r="E94" i="1"/>
  <c r="H93" i="1"/>
  <c r="E93" i="1"/>
  <c r="G93" i="1" s="1"/>
  <c r="H92" i="1"/>
  <c r="E92" i="1"/>
  <c r="G92" i="1" s="1"/>
  <c r="H91" i="1"/>
  <c r="E91" i="1"/>
  <c r="G91" i="1" s="1"/>
  <c r="H90" i="1"/>
  <c r="E90" i="1"/>
  <c r="G90" i="1" s="1"/>
  <c r="H89" i="1"/>
  <c r="E89" i="1"/>
  <c r="G89" i="1" s="1"/>
  <c r="H88" i="1"/>
  <c r="E88" i="1"/>
  <c r="G88" i="1" s="1"/>
  <c r="H87" i="1"/>
  <c r="E87" i="1"/>
  <c r="G87" i="1" s="1"/>
  <c r="H86" i="1"/>
  <c r="G86" i="1"/>
  <c r="E86" i="1"/>
  <c r="H85" i="1"/>
  <c r="E85" i="1"/>
  <c r="G85" i="1" s="1"/>
  <c r="H84" i="1"/>
  <c r="G84" i="1"/>
  <c r="E84" i="1"/>
  <c r="H83" i="1"/>
  <c r="E83" i="1"/>
  <c r="G83" i="1" s="1"/>
  <c r="H82" i="1"/>
  <c r="E82" i="1"/>
  <c r="G82" i="1" s="1"/>
  <c r="H81" i="1"/>
  <c r="G81" i="1"/>
  <c r="E81" i="1"/>
  <c r="H80" i="1"/>
  <c r="E80" i="1"/>
  <c r="G80" i="1" s="1"/>
  <c r="H79" i="1"/>
  <c r="E79" i="1"/>
  <c r="G79" i="1" s="1"/>
  <c r="H78" i="1"/>
  <c r="G78" i="1"/>
  <c r="E78" i="1"/>
  <c r="H77" i="1"/>
  <c r="E77" i="1"/>
  <c r="G77" i="1" s="1"/>
  <c r="H76" i="1"/>
  <c r="E76" i="1"/>
  <c r="G76" i="1" s="1"/>
  <c r="H75" i="1"/>
  <c r="E75" i="1"/>
  <c r="G75" i="1" s="1"/>
  <c r="H74" i="1"/>
  <c r="E74" i="1"/>
  <c r="G74" i="1" s="1"/>
  <c r="H73" i="1"/>
  <c r="E73" i="1"/>
  <c r="G73" i="1" s="1"/>
  <c r="H72" i="1"/>
  <c r="E72" i="1"/>
  <c r="G72" i="1" s="1"/>
  <c r="H71" i="1"/>
  <c r="E71" i="1"/>
  <c r="G71" i="1" s="1"/>
  <c r="H70" i="1"/>
  <c r="G70" i="1"/>
  <c r="E70" i="1"/>
  <c r="H69" i="1"/>
  <c r="E69" i="1"/>
  <c r="G69" i="1" s="1"/>
  <c r="H68" i="1"/>
  <c r="G68" i="1"/>
  <c r="E68" i="1"/>
  <c r="H67" i="1"/>
  <c r="E67" i="1"/>
  <c r="G67" i="1" s="1"/>
  <c r="H66" i="1"/>
  <c r="E66" i="1"/>
  <c r="G66" i="1" s="1"/>
  <c r="H65" i="1"/>
  <c r="G65" i="1"/>
  <c r="E65" i="1"/>
  <c r="H64" i="1"/>
  <c r="E64" i="1"/>
  <c r="G64" i="1" s="1"/>
  <c r="H63" i="1"/>
  <c r="E63" i="1"/>
  <c r="G63" i="1" s="1"/>
  <c r="H62" i="1"/>
  <c r="G62" i="1"/>
  <c r="E62" i="1"/>
  <c r="H61" i="1"/>
  <c r="E61" i="1"/>
  <c r="G61" i="1" s="1"/>
  <c r="H60" i="1"/>
  <c r="E60" i="1"/>
  <c r="G60" i="1" s="1"/>
  <c r="H59" i="1"/>
  <c r="E59" i="1"/>
  <c r="G59" i="1" s="1"/>
  <c r="H58" i="1"/>
  <c r="E58" i="1"/>
  <c r="G58" i="1" s="1"/>
  <c r="H57" i="1"/>
  <c r="E57" i="1"/>
  <c r="G57" i="1" s="1"/>
  <c r="H56" i="1"/>
  <c r="E56" i="1"/>
  <c r="G56" i="1" s="1"/>
  <c r="H55" i="1"/>
  <c r="E55" i="1"/>
  <c r="G55" i="1" s="1"/>
  <c r="H54" i="1"/>
  <c r="G54" i="1"/>
  <c r="E54" i="1"/>
  <c r="H53" i="1"/>
  <c r="E53" i="1"/>
  <c r="G53" i="1" s="1"/>
  <c r="H52" i="1"/>
  <c r="G52" i="1"/>
  <c r="E52" i="1"/>
  <c r="H51" i="1"/>
  <c r="E51" i="1"/>
  <c r="G51" i="1" s="1"/>
  <c r="H50" i="1"/>
  <c r="E50" i="1"/>
  <c r="G50" i="1" s="1"/>
  <c r="H49" i="1"/>
  <c r="G49" i="1"/>
  <c r="E49" i="1"/>
  <c r="H48" i="1"/>
  <c r="E48" i="1"/>
  <c r="G48" i="1" s="1"/>
  <c r="H47" i="1"/>
  <c r="E47" i="1"/>
  <c r="G47" i="1" s="1"/>
  <c r="H46" i="1"/>
  <c r="G46" i="1"/>
  <c r="E46" i="1"/>
  <c r="H45" i="1"/>
  <c r="E45" i="1"/>
  <c r="G45" i="1" s="1"/>
  <c r="H44" i="1"/>
  <c r="E44" i="1"/>
  <c r="G44" i="1" s="1"/>
  <c r="H43" i="1"/>
  <c r="E43" i="1"/>
  <c r="G43" i="1" s="1"/>
  <c r="H42" i="1"/>
  <c r="E42" i="1"/>
  <c r="G42" i="1" s="1"/>
  <c r="H41" i="1"/>
  <c r="E41" i="1"/>
  <c r="G41" i="1" s="1"/>
  <c r="H40" i="1"/>
  <c r="E40" i="1"/>
  <c r="G40" i="1" s="1"/>
  <c r="H39" i="1"/>
  <c r="E39" i="1"/>
  <c r="G39" i="1" s="1"/>
  <c r="H38" i="1"/>
  <c r="G38" i="1"/>
  <c r="E38" i="1"/>
  <c r="H37" i="1"/>
  <c r="E37" i="1"/>
  <c r="G37" i="1" s="1"/>
  <c r="H36" i="1"/>
  <c r="G36" i="1"/>
  <c r="E36" i="1"/>
  <c r="H35" i="1"/>
  <c r="E35" i="1"/>
  <c r="G35" i="1" s="1"/>
  <c r="H34" i="1"/>
  <c r="E34" i="1"/>
  <c r="G34" i="1" s="1"/>
  <c r="H33" i="1"/>
  <c r="G33" i="1"/>
  <c r="E33" i="1"/>
  <c r="H32" i="1"/>
  <c r="E32" i="1"/>
  <c r="G32" i="1" s="1"/>
  <c r="H31" i="1"/>
  <c r="E31" i="1"/>
  <c r="G31" i="1" s="1"/>
  <c r="H30" i="1"/>
  <c r="G30" i="1"/>
  <c r="E30" i="1"/>
  <c r="H29" i="1"/>
  <c r="E29" i="1"/>
  <c r="G29" i="1" s="1"/>
  <c r="H28" i="1"/>
  <c r="E28" i="1"/>
  <c r="G28" i="1" s="1"/>
  <c r="H27" i="1"/>
  <c r="E27" i="1"/>
  <c r="G27" i="1" s="1"/>
  <c r="H26" i="1"/>
  <c r="E26" i="1"/>
  <c r="G26" i="1" s="1"/>
  <c r="H25" i="1"/>
  <c r="E25" i="1"/>
  <c r="G25" i="1" s="1"/>
  <c r="H24" i="1"/>
  <c r="E24" i="1"/>
  <c r="G24" i="1" s="1"/>
  <c r="H23" i="1"/>
  <c r="E23" i="1"/>
  <c r="G23" i="1" s="1"/>
  <c r="H22" i="1"/>
  <c r="G22" i="1"/>
  <c r="E22" i="1"/>
  <c r="H21" i="1"/>
  <c r="E21" i="1"/>
  <c r="G21" i="1" s="1"/>
  <c r="H20" i="1"/>
  <c r="G20" i="1"/>
  <c r="E20" i="1"/>
  <c r="G19" i="1"/>
  <c r="E19" i="1"/>
  <c r="H18" i="1"/>
  <c r="E18" i="1"/>
  <c r="G18" i="1" s="1"/>
  <c r="H17" i="1"/>
  <c r="G17" i="1"/>
  <c r="E17" i="1"/>
  <c r="H16" i="1"/>
  <c r="E16" i="1"/>
  <c r="G16" i="1" s="1"/>
  <c r="H15" i="1"/>
  <c r="E15" i="1"/>
  <c r="G15" i="1" s="1"/>
  <c r="H14" i="1"/>
  <c r="G14" i="1"/>
  <c r="E14" i="1"/>
  <c r="H13" i="1"/>
  <c r="E13" i="1"/>
  <c r="G13" i="1" s="1"/>
  <c r="H12" i="1"/>
  <c r="E12" i="1"/>
  <c r="G12" i="1" s="1"/>
  <c r="H11" i="1"/>
  <c r="G11" i="1"/>
  <c r="E11" i="1"/>
  <c r="H10" i="1"/>
  <c r="E10" i="1"/>
  <c r="G10" i="1" s="1"/>
  <c r="H9" i="1"/>
  <c r="E9" i="1"/>
  <c r="G9" i="1" s="1"/>
  <c r="H8" i="1"/>
  <c r="E8" i="1"/>
  <c r="G8" i="1" s="1"/>
  <c r="H7" i="1"/>
  <c r="E7" i="1"/>
  <c r="G7" i="1" s="1"/>
  <c r="H6" i="1"/>
  <c r="E6" i="1"/>
  <c r="G6" i="1" s="1"/>
  <c r="H5" i="1"/>
  <c r="E5" i="1"/>
  <c r="G5" i="1" s="1"/>
  <c r="H4" i="1"/>
  <c r="E4" i="1"/>
  <c r="G4" i="1" s="1"/>
  <c r="H3" i="1"/>
  <c r="G3" i="1"/>
  <c r="E3" i="1"/>
  <c r="H2" i="1"/>
  <c r="G2" i="1"/>
  <c r="G137" i="1" l="1"/>
  <c r="H137" i="1"/>
</calcChain>
</file>

<file path=xl/sharedStrings.xml><?xml version="1.0" encoding="utf-8"?>
<sst xmlns="http://schemas.openxmlformats.org/spreadsheetml/2006/main" count="8" uniqueCount="8">
  <si>
    <t>DATE</t>
  </si>
  <si>
    <t>MENU</t>
  </si>
  <si>
    <t>PW kg</t>
  </si>
  <si>
    <t>PW g</t>
  </si>
  <si>
    <t>DINERS</t>
  </si>
  <si>
    <t>PW/g/diner</t>
  </si>
  <si>
    <t>KSW/g/diner</t>
  </si>
  <si>
    <t>KSW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</si>
</sst>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"/>
    <numFmt numFmtId="165" formatCode="dd/mm/yyyy"/>
  </numFmts>
  <fonts count="14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color rgb="FFFF00FF"/>
      <name val="Arial"/>
      <family val="2"/>
      <scheme val="minor"/>
    </font>
    <font>
      <sz val="10"/>
      <color rgb="FFFF00FF"/>
      <name val="Arial"/>
      <family val="2"/>
    </font>
    <font>
      <sz val="10"/>
      <color rgb="FF434343"/>
      <name val="Arial"/>
      <family val="2"/>
    </font>
    <font>
      <sz val="10"/>
      <color rgb="FF1155CC"/>
      <name val="Arial"/>
      <family val="2"/>
    </font>
    <font>
      <sz val="11"/>
      <color rgb="FF1155CC"/>
      <name val="Calibri"/>
      <family val="2"/>
    </font>
    <font>
      <sz val="10"/>
      <color rgb="FF1155CC"/>
      <name val="Arial"/>
      <family val="2"/>
      <scheme val="minor"/>
    </font>
    <font>
      <sz val="10"/>
      <color rgb="FFFF0000"/>
      <name val="Arial"/>
      <family val="2"/>
      <scheme val="minor"/>
    </font>
    <font>
      <sz val="1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0" xfId="0" applyFont="1" applyFill="1" applyAlignment="1">
      <alignment horizontal="right"/>
    </xf>
    <xf numFmtId="164" fontId="1" fillId="2" borderId="0" xfId="0" applyNumberFormat="1" applyFont="1" applyFill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165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5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0" fontId="6" fillId="0" borderId="0" xfId="0" applyFont="1"/>
    <xf numFmtId="1" fontId="4" fillId="0" borderId="0" xfId="0" applyNumberFormat="1" applyFont="1"/>
    <xf numFmtId="165" fontId="7" fillId="0" borderId="0" xfId="0" applyNumberFormat="1" applyFont="1" applyAlignment="1">
      <alignment horizontal="right"/>
    </xf>
    <xf numFmtId="0" fontId="7" fillId="0" borderId="0" xfId="0" applyFont="1"/>
    <xf numFmtId="0" fontId="7" fillId="0" borderId="0" xfId="0" applyFont="1" applyAlignment="1">
      <alignment horizontal="right"/>
    </xf>
    <xf numFmtId="164" fontId="7" fillId="0" borderId="0" xfId="0" applyNumberFormat="1" applyFont="1" applyAlignment="1">
      <alignment horizontal="right"/>
    </xf>
    <xf numFmtId="165" fontId="7" fillId="3" borderId="0" xfId="0" applyNumberFormat="1" applyFont="1" applyFill="1" applyAlignment="1">
      <alignment horizontal="right"/>
    </xf>
    <xf numFmtId="0" fontId="7" fillId="3" borderId="0" xfId="0" applyFont="1" applyFill="1"/>
    <xf numFmtId="0" fontId="7" fillId="3" borderId="0" xfId="0" applyFont="1" applyFill="1" applyAlignment="1">
      <alignment horizontal="right"/>
    </xf>
    <xf numFmtId="164" fontId="7" fillId="3" borderId="0" xfId="0" applyNumberFormat="1" applyFont="1" applyFill="1" applyAlignment="1">
      <alignment horizontal="right"/>
    </xf>
    <xf numFmtId="0" fontId="8" fillId="3" borderId="0" xfId="0" applyFont="1" applyFill="1" applyAlignment="1">
      <alignment horizontal="right"/>
    </xf>
    <xf numFmtId="165" fontId="9" fillId="3" borderId="0" xfId="0" applyNumberFormat="1" applyFont="1" applyFill="1" applyAlignment="1">
      <alignment horizontal="right"/>
    </xf>
    <xf numFmtId="0" fontId="9" fillId="3" borderId="0" xfId="0" applyFont="1" applyFill="1"/>
    <xf numFmtId="0" fontId="10" fillId="3" borderId="0" xfId="0" applyFont="1" applyFill="1" applyAlignment="1">
      <alignment horizontal="right"/>
    </xf>
    <xf numFmtId="0" fontId="11" fillId="3" borderId="0" xfId="0" applyFont="1" applyFill="1"/>
    <xf numFmtId="164" fontId="9" fillId="3" borderId="0" xfId="0" applyNumberFormat="1" applyFont="1" applyFill="1"/>
    <xf numFmtId="0" fontId="12" fillId="0" borderId="0" xfId="0" applyFont="1"/>
    <xf numFmtId="165" fontId="10" fillId="3" borderId="0" xfId="0" applyNumberFormat="1" applyFont="1" applyFill="1" applyAlignment="1">
      <alignment horizontal="right"/>
    </xf>
    <xf numFmtId="164" fontId="11" fillId="3" borderId="0" xfId="0" applyNumberFormat="1" applyFont="1" applyFill="1"/>
    <xf numFmtId="165" fontId="11" fillId="3" borderId="0" xfId="0" applyNumberFormat="1" applyFont="1" applyFill="1"/>
    <xf numFmtId="165" fontId="3" fillId="3" borderId="0" xfId="0" applyNumberFormat="1" applyFont="1" applyFill="1"/>
    <xf numFmtId="0" fontId="3" fillId="3" borderId="0" xfId="0" applyFont="1" applyFill="1"/>
    <xf numFmtId="164" fontId="3" fillId="3" borderId="0" xfId="0" applyNumberFormat="1" applyFont="1" applyFill="1"/>
    <xf numFmtId="164" fontId="3" fillId="0" borderId="0" xfId="0" applyNumberFormat="1" applyFont="1"/>
    <xf numFmtId="0" fontId="13" fillId="0" borderId="0" xfId="0" applyFont="1"/>
    <xf numFmtId="164" fontId="0" fillId="0" borderId="0" xfId="0" applyNumberFormat="1"/>
    <xf numFmtId="164" fontId="6" fillId="0" borderId="0" xfId="0" applyNumberFormat="1" applyFont="1"/>
    <xf numFmtId="2" fontId="4" fillId="0" borderId="0" xfId="0" applyNumberFormat="1" applyFont="1" applyAlignment="1">
      <alignment horizontal="right"/>
    </xf>
    <xf numFmtId="2" fontId="5" fillId="0" borderId="0" xfId="0" applyNumberFormat="1" applyFont="1" applyAlignment="1">
      <alignment horizontal="right"/>
    </xf>
    <xf numFmtId="2" fontId="7" fillId="0" borderId="0" xfId="0" applyNumberFormat="1" applyFont="1"/>
    <xf numFmtId="2" fontId="7" fillId="3" borderId="0" xfId="0" applyNumberFormat="1" applyFont="1" applyFill="1"/>
  </cellXfs>
  <cellStyles count="1">
    <cellStyle name="Normal" xfId="0" builtinId="0"/>
  </cellStyles>
  <dxfs count="13">
    <dxf>
      <numFmt numFmtId="164" formatCode="0.000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</dxfs>
  <tableStyles count="5">
    <tableStyle name="lautashävikki lukuvuosi 2024-20-style" pivot="0" count="2" xr9:uid="{00000000-0011-0000-FFFF-FFFF00000000}">
      <tableStyleElement type="firstRowStripe" dxfId="12"/>
      <tableStyleElement type="secondRowStripe" dxfId="11"/>
    </tableStyle>
    <tableStyle name="lautashävikki lukuvuosi 2024-20-style 2" pivot="0" count="2" xr9:uid="{00000000-0011-0000-FFFF-FFFF01000000}">
      <tableStyleElement type="firstRowStripe" dxfId="10"/>
      <tableStyleElement type="secondRowStripe" dxfId="9"/>
    </tableStyle>
    <tableStyle name="Kopio lautashävikki2024 1-style" pivot="0" count="2" xr9:uid="{00000000-0011-0000-FFFF-FFFF02000000}">
      <tableStyleElement type="firstRowStripe" dxfId="8"/>
      <tableStyleElement type="secondRowStripe" dxfId="7"/>
    </tableStyle>
    <tableStyle name="Kopio lautashävikki2024 1-style 2" pivot="0" count="2" xr9:uid="{00000000-0011-0000-FFFF-FFFF03000000}">
      <tableStyleElement type="firstRowStripe" dxfId="6"/>
      <tableStyleElement type="secondRowStripe" dxfId="5"/>
    </tableStyle>
    <tableStyle name="Kaavio1 Menut korkeimman ja alh-style" pivot="0" count="4" xr9:uid="{00000000-0011-0000-FFFF-FFFF04000000}">
      <tableStyleElement type="wholeTable" size="0" dxfId="4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E137:E186" headerRowCount="0">
  <tableColumns count="1">
    <tableColumn id="1" xr3:uid="{00000000-0010-0000-0000-000001000000}" name="Column1"/>
  </tableColumns>
  <tableStyleInfo name="lautashävikki lukuvuosi 2024-20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F137:H156" headerRowCount="0">
  <tableColumns count="3">
    <tableColumn id="1" xr3:uid="{00000000-0010-0000-0100-000001000000}" name="Column1"/>
    <tableColumn id="2" xr3:uid="{00000000-0010-0000-0100-000002000000}" name="Column2"/>
    <tableColumn id="3" xr3:uid="{00000000-0010-0000-0100-000003000000}" name="Column3" dataDxfId="0"/>
  </tableColumns>
  <tableStyleInfo name="lautashävikki lukuvuosi 2024-20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P743"/>
  <sheetViews>
    <sheetView tabSelected="1" topLeftCell="A118" workbookViewId="0">
      <pane xSplit="1" topLeftCell="B1" activePane="topRight" state="frozen"/>
      <selection pane="topRight" activeCell="B6" sqref="B6"/>
    </sheetView>
  </sheetViews>
  <sheetFormatPr baseColWidth="10" defaultColWidth="12.6640625" defaultRowHeight="15.75" customHeight="1" x14ac:dyDescent="0.15"/>
  <sheetData>
    <row r="1" spans="1:14" ht="15.75" customHeight="1" x14ac:dyDescent="0.15">
      <c r="A1" s="1" t="s">
        <v>0</v>
      </c>
      <c r="B1" s="1" t="s">
        <v>1</v>
      </c>
      <c r="C1" s="1" t="s">
        <v>7</v>
      </c>
      <c r="D1" s="1" t="s">
        <v>2</v>
      </c>
      <c r="E1" s="1" t="s">
        <v>3</v>
      </c>
      <c r="F1" s="1" t="s">
        <v>4</v>
      </c>
      <c r="G1" s="2" t="s">
        <v>5</v>
      </c>
      <c r="H1" s="3" t="s">
        <v>6</v>
      </c>
      <c r="I1" s="4"/>
      <c r="J1" s="5"/>
      <c r="L1" s="35"/>
      <c r="M1" s="35"/>
    </row>
    <row r="2" spans="1:14" ht="15.75" customHeight="1" x14ac:dyDescent="0.15">
      <c r="A2" s="6">
        <v>45512</v>
      </c>
      <c r="B2" s="7">
        <v>4</v>
      </c>
      <c r="C2" s="38">
        <v>29.5</v>
      </c>
      <c r="D2" s="7">
        <v>10.205</v>
      </c>
      <c r="E2" s="7">
        <v>10205</v>
      </c>
      <c r="F2" s="7">
        <v>486</v>
      </c>
      <c r="G2" s="8">
        <f t="shared" ref="G2:G136" si="0">E2/F2</f>
        <v>20.997942386831276</v>
      </c>
      <c r="H2" s="34">
        <f t="shared" ref="H2:H18" si="1">C2/F2*1000</f>
        <v>60.699588477366255</v>
      </c>
      <c r="I2" s="4"/>
      <c r="J2" s="4"/>
      <c r="L2" s="35"/>
      <c r="M2" s="35"/>
      <c r="N2" s="4"/>
    </row>
    <row r="3" spans="1:14" ht="15.75" customHeight="1" x14ac:dyDescent="0.15">
      <c r="A3" s="6">
        <v>45513</v>
      </c>
      <c r="B3" s="7">
        <v>5</v>
      </c>
      <c r="C3" s="38">
        <v>7.75</v>
      </c>
      <c r="D3" s="7">
        <v>8.31</v>
      </c>
      <c r="E3" s="7">
        <f>D3*1000</f>
        <v>8310</v>
      </c>
      <c r="F3" s="7">
        <v>466</v>
      </c>
      <c r="G3" s="8">
        <f t="shared" si="0"/>
        <v>17.832618025751074</v>
      </c>
      <c r="H3" s="34">
        <f t="shared" si="1"/>
        <v>16.630901287553648</v>
      </c>
      <c r="I3" s="4"/>
    </row>
    <row r="4" spans="1:14" ht="15" x14ac:dyDescent="0.2">
      <c r="A4" s="9">
        <v>45516</v>
      </c>
      <c r="B4" s="4">
        <v>6</v>
      </c>
      <c r="C4" s="39">
        <v>10.44</v>
      </c>
      <c r="D4" s="10">
        <v>8.6839999999999993</v>
      </c>
      <c r="E4" s="10">
        <f t="shared" ref="E4:E5" si="2">D4*1000</f>
        <v>8684</v>
      </c>
      <c r="F4" s="10">
        <v>438</v>
      </c>
      <c r="G4" s="8">
        <f t="shared" si="0"/>
        <v>19.826484018264839</v>
      </c>
      <c r="H4" s="34">
        <f t="shared" si="1"/>
        <v>23.835616438356166</v>
      </c>
    </row>
    <row r="5" spans="1:14" ht="15" x14ac:dyDescent="0.2">
      <c r="A5" s="9">
        <v>45517</v>
      </c>
      <c r="B5" s="4">
        <v>7</v>
      </c>
      <c r="C5" s="39">
        <v>8.0299999999999994</v>
      </c>
      <c r="D5" s="10">
        <v>6.9359999999999999</v>
      </c>
      <c r="E5" s="10">
        <f t="shared" si="2"/>
        <v>6936</v>
      </c>
      <c r="F5" s="10">
        <v>455</v>
      </c>
      <c r="G5" s="8">
        <f t="shared" si="0"/>
        <v>15.243956043956043</v>
      </c>
      <c r="H5" s="34">
        <f t="shared" si="1"/>
        <v>17.648351648351646</v>
      </c>
    </row>
    <row r="6" spans="1:14" ht="15.75" customHeight="1" x14ac:dyDescent="0.15">
      <c r="A6" s="6">
        <v>45518</v>
      </c>
      <c r="B6" s="7">
        <v>8</v>
      </c>
      <c r="C6" s="38">
        <v>3.33</v>
      </c>
      <c r="D6" s="7">
        <v>10.852</v>
      </c>
      <c r="E6" s="7">
        <f t="shared" ref="E6:E136" si="3">D6*1000</f>
        <v>10852</v>
      </c>
      <c r="F6" s="7">
        <v>457</v>
      </c>
      <c r="G6" s="8">
        <f t="shared" si="0"/>
        <v>23.746170678336981</v>
      </c>
      <c r="H6" s="34">
        <f t="shared" si="1"/>
        <v>7.2866520787746172</v>
      </c>
      <c r="I6" s="4"/>
    </row>
    <row r="7" spans="1:14" ht="15.75" customHeight="1" x14ac:dyDescent="0.15">
      <c r="A7" s="6">
        <v>45519</v>
      </c>
      <c r="B7" s="7">
        <v>9</v>
      </c>
      <c r="C7" s="38">
        <v>10.19</v>
      </c>
      <c r="D7" s="7">
        <v>12.989000000000001</v>
      </c>
      <c r="E7" s="7">
        <f t="shared" si="3"/>
        <v>12989</v>
      </c>
      <c r="F7" s="7">
        <v>469</v>
      </c>
      <c r="G7" s="8">
        <f t="shared" si="0"/>
        <v>27.695095948827291</v>
      </c>
      <c r="H7" s="34">
        <f t="shared" si="1"/>
        <v>21.727078891257996</v>
      </c>
      <c r="I7" s="4"/>
    </row>
    <row r="8" spans="1:14" ht="15.75" customHeight="1" x14ac:dyDescent="0.15">
      <c r="A8" s="6">
        <v>45520</v>
      </c>
      <c r="B8" s="7">
        <v>10</v>
      </c>
      <c r="C8" s="38">
        <v>10.23</v>
      </c>
      <c r="D8" s="7">
        <v>15.178000000000001</v>
      </c>
      <c r="E8" s="7">
        <f t="shared" si="3"/>
        <v>15178</v>
      </c>
      <c r="F8" s="7">
        <v>387</v>
      </c>
      <c r="G8" s="8">
        <f t="shared" si="0"/>
        <v>39.219638242894057</v>
      </c>
      <c r="H8" s="34">
        <f t="shared" si="1"/>
        <v>26.434108527131784</v>
      </c>
      <c r="I8" s="4"/>
    </row>
    <row r="9" spans="1:14" ht="15.75" customHeight="1" x14ac:dyDescent="0.15">
      <c r="A9" s="6">
        <v>45523</v>
      </c>
      <c r="B9" s="7">
        <v>11</v>
      </c>
      <c r="C9" s="38">
        <v>16.559999999999999</v>
      </c>
      <c r="D9" s="7">
        <v>13.387</v>
      </c>
      <c r="E9" s="7">
        <f t="shared" si="3"/>
        <v>13387</v>
      </c>
      <c r="F9" s="7">
        <v>377</v>
      </c>
      <c r="G9" s="8">
        <f t="shared" si="0"/>
        <v>35.509283819628649</v>
      </c>
      <c r="H9" s="34">
        <f t="shared" si="1"/>
        <v>43.92572944297082</v>
      </c>
    </row>
    <row r="10" spans="1:14" ht="15.75" customHeight="1" x14ac:dyDescent="0.15">
      <c r="A10" s="6">
        <v>45524</v>
      </c>
      <c r="B10" s="7">
        <v>12</v>
      </c>
      <c r="C10" s="38">
        <v>27.3</v>
      </c>
      <c r="D10" s="7">
        <v>8.3810000000000002</v>
      </c>
      <c r="E10" s="7">
        <f t="shared" si="3"/>
        <v>8381</v>
      </c>
      <c r="F10" s="7">
        <v>380</v>
      </c>
      <c r="G10" s="8">
        <f t="shared" si="0"/>
        <v>22.055263157894736</v>
      </c>
      <c r="H10" s="34">
        <f t="shared" si="1"/>
        <v>71.842105263157904</v>
      </c>
    </row>
    <row r="11" spans="1:14" ht="15.75" customHeight="1" x14ac:dyDescent="0.15">
      <c r="A11" s="6">
        <v>45525</v>
      </c>
      <c r="B11" s="7">
        <v>13</v>
      </c>
      <c r="C11" s="38">
        <v>6.59</v>
      </c>
      <c r="D11" s="7">
        <v>8.4079999999999995</v>
      </c>
      <c r="E11" s="7">
        <f t="shared" si="3"/>
        <v>8408</v>
      </c>
      <c r="F11" s="7">
        <v>451</v>
      </c>
      <c r="G11" s="8">
        <f t="shared" si="0"/>
        <v>18.643015521064303</v>
      </c>
      <c r="H11" s="34">
        <f t="shared" si="1"/>
        <v>14.611973392461197</v>
      </c>
      <c r="I11" s="11"/>
      <c r="J11" s="11"/>
      <c r="K11" s="11"/>
      <c r="L11" s="11"/>
    </row>
    <row r="12" spans="1:14" ht="15.75" customHeight="1" x14ac:dyDescent="0.15">
      <c r="A12" s="6">
        <v>45526</v>
      </c>
      <c r="B12" s="7">
        <v>14</v>
      </c>
      <c r="C12" s="38">
        <v>6.26</v>
      </c>
      <c r="D12" s="7">
        <v>7.0010000000000003</v>
      </c>
      <c r="E12" s="7">
        <f t="shared" si="3"/>
        <v>7001</v>
      </c>
      <c r="F12" s="7">
        <v>427</v>
      </c>
      <c r="G12" s="8">
        <f t="shared" si="0"/>
        <v>16.395784543325526</v>
      </c>
      <c r="H12" s="34">
        <f t="shared" si="1"/>
        <v>14.660421545667447</v>
      </c>
      <c r="I12" s="11"/>
      <c r="J12" s="11"/>
      <c r="K12" s="11"/>
      <c r="L12" s="11"/>
    </row>
    <row r="13" spans="1:14" ht="15.75" customHeight="1" x14ac:dyDescent="0.15">
      <c r="A13" s="6">
        <v>45527</v>
      </c>
      <c r="B13" s="7">
        <v>15</v>
      </c>
      <c r="C13" s="38">
        <v>23.86</v>
      </c>
      <c r="D13" s="7">
        <v>11.978999999999999</v>
      </c>
      <c r="E13" s="7">
        <f t="shared" si="3"/>
        <v>11979</v>
      </c>
      <c r="F13" s="7">
        <v>397</v>
      </c>
      <c r="G13" s="8">
        <f t="shared" si="0"/>
        <v>30.173803526448363</v>
      </c>
      <c r="H13" s="34">
        <f t="shared" si="1"/>
        <v>60.100755667506299</v>
      </c>
      <c r="I13" s="11"/>
      <c r="J13" s="11"/>
      <c r="K13" s="11"/>
      <c r="L13" s="11"/>
    </row>
    <row r="14" spans="1:14" ht="15.75" customHeight="1" x14ac:dyDescent="0.15">
      <c r="A14" s="6">
        <v>45530</v>
      </c>
      <c r="B14" s="7">
        <v>16</v>
      </c>
      <c r="C14" s="38">
        <v>9.4700000000000006</v>
      </c>
      <c r="D14" s="7">
        <v>21.661999999999999</v>
      </c>
      <c r="E14" s="7">
        <f t="shared" si="3"/>
        <v>21662</v>
      </c>
      <c r="F14" s="7">
        <v>401</v>
      </c>
      <c r="G14" s="8">
        <f t="shared" si="0"/>
        <v>54.019950124688279</v>
      </c>
      <c r="H14" s="34">
        <f t="shared" si="1"/>
        <v>23.615960099750627</v>
      </c>
    </row>
    <row r="15" spans="1:14" ht="15.75" customHeight="1" x14ac:dyDescent="0.15">
      <c r="A15" s="6">
        <v>45531</v>
      </c>
      <c r="B15" s="7">
        <v>17</v>
      </c>
      <c r="C15" s="38">
        <v>9.2799999999999994</v>
      </c>
      <c r="D15" s="7">
        <v>5.22</v>
      </c>
      <c r="E15" s="7">
        <f t="shared" si="3"/>
        <v>5220</v>
      </c>
      <c r="F15" s="7">
        <v>420</v>
      </c>
      <c r="G15" s="8">
        <f t="shared" si="0"/>
        <v>12.428571428571429</v>
      </c>
      <c r="H15" s="34">
        <f t="shared" si="1"/>
        <v>22.095238095238095</v>
      </c>
    </row>
    <row r="16" spans="1:14" ht="15.75" customHeight="1" x14ac:dyDescent="0.15">
      <c r="A16" s="6">
        <v>45532</v>
      </c>
      <c r="B16" s="7">
        <v>18</v>
      </c>
      <c r="C16" s="38">
        <v>16.04</v>
      </c>
      <c r="D16" s="7">
        <v>7.3769999999999998</v>
      </c>
      <c r="E16" s="7">
        <f t="shared" si="3"/>
        <v>7377</v>
      </c>
      <c r="F16" s="7">
        <v>415</v>
      </c>
      <c r="G16" s="8">
        <f t="shared" si="0"/>
        <v>17.775903614457832</v>
      </c>
      <c r="H16" s="34">
        <f t="shared" si="1"/>
        <v>38.650602409638552</v>
      </c>
      <c r="I16" s="4"/>
    </row>
    <row r="17" spans="1:9" ht="15.75" customHeight="1" x14ac:dyDescent="0.15">
      <c r="A17" s="6">
        <v>45533</v>
      </c>
      <c r="B17" s="7">
        <v>19</v>
      </c>
      <c r="C17" s="38">
        <v>17.07</v>
      </c>
      <c r="D17" s="7">
        <v>10.032</v>
      </c>
      <c r="E17" s="7">
        <f t="shared" si="3"/>
        <v>10032</v>
      </c>
      <c r="F17" s="7">
        <v>432</v>
      </c>
      <c r="G17" s="8">
        <f t="shared" si="0"/>
        <v>23.222222222222221</v>
      </c>
      <c r="H17" s="34">
        <f t="shared" si="1"/>
        <v>39.513888888888893</v>
      </c>
      <c r="I17" s="4"/>
    </row>
    <row r="18" spans="1:9" ht="15.75" customHeight="1" x14ac:dyDescent="0.15">
      <c r="A18" s="6">
        <v>45534</v>
      </c>
      <c r="B18" s="7">
        <v>20</v>
      </c>
      <c r="C18" s="38">
        <v>12.05</v>
      </c>
      <c r="D18" s="7">
        <v>9.7449999999999992</v>
      </c>
      <c r="E18" s="7">
        <f t="shared" si="3"/>
        <v>9745</v>
      </c>
      <c r="F18" s="7">
        <v>469</v>
      </c>
      <c r="G18" s="8">
        <f t="shared" si="0"/>
        <v>20.778251599147122</v>
      </c>
      <c r="H18" s="34">
        <f t="shared" si="1"/>
        <v>25.692963752665246</v>
      </c>
      <c r="I18" s="4"/>
    </row>
    <row r="19" spans="1:9" ht="15.75" customHeight="1" x14ac:dyDescent="0.15">
      <c r="A19" s="6">
        <v>45537</v>
      </c>
      <c r="B19" s="7">
        <v>21</v>
      </c>
      <c r="C19" s="38"/>
      <c r="D19" s="7">
        <v>9.1159999999999997</v>
      </c>
      <c r="E19" s="7">
        <f t="shared" si="3"/>
        <v>9116</v>
      </c>
      <c r="F19" s="7">
        <v>419</v>
      </c>
      <c r="G19" s="8">
        <f t="shared" si="0"/>
        <v>21.75656324582339</v>
      </c>
      <c r="H19" s="36"/>
    </row>
    <row r="20" spans="1:9" ht="15.75" customHeight="1" x14ac:dyDescent="0.15">
      <c r="A20" s="6">
        <v>45538</v>
      </c>
      <c r="B20" s="7">
        <v>22</v>
      </c>
      <c r="C20" s="38">
        <v>5.34</v>
      </c>
      <c r="D20" s="7">
        <v>7.7210000000000001</v>
      </c>
      <c r="E20" s="7">
        <f t="shared" si="3"/>
        <v>7721</v>
      </c>
      <c r="F20" s="7">
        <v>475</v>
      </c>
      <c r="G20" s="8">
        <f t="shared" si="0"/>
        <v>16.254736842105263</v>
      </c>
      <c r="H20" s="34">
        <f t="shared" ref="H20:H136" si="4">C20/F20*1000</f>
        <v>11.242105263157896</v>
      </c>
    </row>
    <row r="21" spans="1:9" ht="15.75" customHeight="1" x14ac:dyDescent="0.15">
      <c r="A21" s="6">
        <v>45539</v>
      </c>
      <c r="B21" s="7">
        <v>23</v>
      </c>
      <c r="C21" s="38">
        <v>5.0999999999999996</v>
      </c>
      <c r="D21" s="7">
        <v>6.2590000000000003</v>
      </c>
      <c r="E21" s="7">
        <f t="shared" si="3"/>
        <v>6259</v>
      </c>
      <c r="F21" s="7">
        <v>435</v>
      </c>
      <c r="G21" s="8">
        <f t="shared" si="0"/>
        <v>14.388505747126437</v>
      </c>
      <c r="H21" s="34">
        <f t="shared" si="4"/>
        <v>11.72413793103448</v>
      </c>
      <c r="I21" s="4"/>
    </row>
    <row r="22" spans="1:9" ht="15.75" customHeight="1" x14ac:dyDescent="0.15">
      <c r="A22" s="6">
        <v>45540</v>
      </c>
      <c r="B22" s="7">
        <v>24</v>
      </c>
      <c r="C22" s="38">
        <v>16.670000000000002</v>
      </c>
      <c r="D22" s="7">
        <v>11.714</v>
      </c>
      <c r="E22" s="7">
        <f t="shared" si="3"/>
        <v>11714</v>
      </c>
      <c r="F22" s="7">
        <v>433</v>
      </c>
      <c r="G22" s="8">
        <f t="shared" si="0"/>
        <v>27.053117782909929</v>
      </c>
      <c r="H22" s="34">
        <f t="shared" si="4"/>
        <v>38.498845265588919</v>
      </c>
      <c r="I22" s="4"/>
    </row>
    <row r="23" spans="1:9" ht="15.75" customHeight="1" x14ac:dyDescent="0.15">
      <c r="A23" s="6">
        <v>45541</v>
      </c>
      <c r="B23" s="7">
        <v>25</v>
      </c>
      <c r="C23" s="38">
        <v>8.73</v>
      </c>
      <c r="D23" s="7">
        <v>11.452999999999999</v>
      </c>
      <c r="E23" s="7">
        <f t="shared" si="3"/>
        <v>11453</v>
      </c>
      <c r="F23" s="7">
        <v>496</v>
      </c>
      <c r="G23" s="8">
        <f t="shared" si="0"/>
        <v>23.090725806451612</v>
      </c>
      <c r="H23" s="34">
        <f t="shared" si="4"/>
        <v>17.600806451612904</v>
      </c>
      <c r="I23" s="4"/>
    </row>
    <row r="24" spans="1:9" ht="15.75" customHeight="1" x14ac:dyDescent="0.15">
      <c r="A24" s="6">
        <v>45544</v>
      </c>
      <c r="B24" s="7">
        <v>1</v>
      </c>
      <c r="C24" s="38">
        <v>13.72</v>
      </c>
      <c r="D24" s="7">
        <v>8.8770000000000007</v>
      </c>
      <c r="E24" s="7">
        <f t="shared" si="3"/>
        <v>8877</v>
      </c>
      <c r="F24" s="7">
        <v>372</v>
      </c>
      <c r="G24" s="8">
        <f t="shared" si="0"/>
        <v>23.862903225806452</v>
      </c>
      <c r="H24" s="34">
        <f t="shared" si="4"/>
        <v>36.881720430107528</v>
      </c>
    </row>
    <row r="25" spans="1:9" ht="15.75" customHeight="1" x14ac:dyDescent="0.15">
      <c r="A25" s="6">
        <v>45545</v>
      </c>
      <c r="B25" s="7">
        <v>2</v>
      </c>
      <c r="C25" s="38">
        <v>4.99</v>
      </c>
      <c r="D25" s="7">
        <v>6.4050000000000002</v>
      </c>
      <c r="E25" s="7">
        <f t="shared" si="3"/>
        <v>6405</v>
      </c>
      <c r="F25" s="7">
        <v>398</v>
      </c>
      <c r="G25" s="8">
        <f t="shared" si="0"/>
        <v>16.092964824120603</v>
      </c>
      <c r="H25" s="34">
        <f t="shared" si="4"/>
        <v>12.537688442211056</v>
      </c>
    </row>
    <row r="26" spans="1:9" ht="15.75" customHeight="1" x14ac:dyDescent="0.15">
      <c r="A26" s="6">
        <v>45546</v>
      </c>
      <c r="B26" s="7">
        <v>3</v>
      </c>
      <c r="C26" s="38">
        <v>26.25</v>
      </c>
      <c r="D26" s="7">
        <v>6.524</v>
      </c>
      <c r="E26" s="7">
        <f t="shared" si="3"/>
        <v>6524</v>
      </c>
      <c r="F26" s="7">
        <v>382</v>
      </c>
      <c r="G26" s="8">
        <f t="shared" si="0"/>
        <v>17.078534031413614</v>
      </c>
      <c r="H26" s="34">
        <f t="shared" si="4"/>
        <v>68.717277486910987</v>
      </c>
    </row>
    <row r="27" spans="1:9" ht="15.75" customHeight="1" x14ac:dyDescent="0.15">
      <c r="A27" s="6">
        <v>45547</v>
      </c>
      <c r="B27" s="7">
        <v>4</v>
      </c>
      <c r="C27" s="38">
        <v>5.13</v>
      </c>
      <c r="D27" s="7">
        <v>13.356</v>
      </c>
      <c r="E27" s="7">
        <f t="shared" si="3"/>
        <v>13356</v>
      </c>
      <c r="F27" s="7">
        <v>440</v>
      </c>
      <c r="G27" s="8">
        <f t="shared" si="0"/>
        <v>30.354545454545455</v>
      </c>
      <c r="H27" s="34">
        <f t="shared" si="4"/>
        <v>11.659090909090908</v>
      </c>
    </row>
    <row r="28" spans="1:9" ht="15.75" customHeight="1" x14ac:dyDescent="0.15">
      <c r="A28" s="6">
        <v>45548</v>
      </c>
      <c r="B28" s="7">
        <v>5</v>
      </c>
      <c r="C28" s="38">
        <v>13.87</v>
      </c>
      <c r="D28" s="7">
        <v>8.2029999999999994</v>
      </c>
      <c r="E28" s="7">
        <f t="shared" si="3"/>
        <v>8203</v>
      </c>
      <c r="F28" s="7">
        <v>411</v>
      </c>
      <c r="G28" s="8">
        <f t="shared" si="0"/>
        <v>19.958637469586375</v>
      </c>
      <c r="H28" s="34">
        <f t="shared" si="4"/>
        <v>33.746958637469582</v>
      </c>
    </row>
    <row r="29" spans="1:9" ht="15.75" customHeight="1" x14ac:dyDescent="0.15">
      <c r="A29" s="6">
        <v>45551</v>
      </c>
      <c r="B29" s="7">
        <v>6</v>
      </c>
      <c r="C29" s="38">
        <v>12.67</v>
      </c>
      <c r="D29" s="7">
        <v>9.6059999999999999</v>
      </c>
      <c r="E29" s="7">
        <f t="shared" si="3"/>
        <v>9606</v>
      </c>
      <c r="F29" s="7">
        <v>448</v>
      </c>
      <c r="G29" s="8">
        <f t="shared" si="0"/>
        <v>21.441964285714285</v>
      </c>
      <c r="H29" s="34">
        <f t="shared" si="4"/>
        <v>28.28125</v>
      </c>
    </row>
    <row r="30" spans="1:9" ht="15.75" customHeight="1" x14ac:dyDescent="0.15">
      <c r="A30" s="6">
        <v>45552</v>
      </c>
      <c r="B30" s="7">
        <v>7</v>
      </c>
      <c r="C30" s="38">
        <v>7.21</v>
      </c>
      <c r="D30" s="7">
        <v>6.96</v>
      </c>
      <c r="E30" s="7">
        <f t="shared" si="3"/>
        <v>6960</v>
      </c>
      <c r="F30" s="7">
        <v>403</v>
      </c>
      <c r="G30" s="8">
        <f t="shared" si="0"/>
        <v>17.270471464019852</v>
      </c>
      <c r="H30" s="34">
        <f t="shared" si="4"/>
        <v>17.890818858560795</v>
      </c>
    </row>
    <row r="31" spans="1:9" ht="15.75" customHeight="1" x14ac:dyDescent="0.15">
      <c r="A31" s="6">
        <v>45553</v>
      </c>
      <c r="B31" s="7">
        <v>8</v>
      </c>
      <c r="C31" s="38">
        <v>11.11</v>
      </c>
      <c r="D31" s="7">
        <v>8.9309999999999992</v>
      </c>
      <c r="E31" s="7">
        <f t="shared" si="3"/>
        <v>8931</v>
      </c>
      <c r="F31" s="7">
        <v>390</v>
      </c>
      <c r="G31" s="8">
        <f t="shared" si="0"/>
        <v>22.9</v>
      </c>
      <c r="H31" s="34">
        <f t="shared" si="4"/>
        <v>28.487179487179485</v>
      </c>
    </row>
    <row r="32" spans="1:9" ht="15.75" customHeight="1" x14ac:dyDescent="0.15">
      <c r="A32" s="6">
        <v>45554</v>
      </c>
      <c r="B32" s="7">
        <v>9</v>
      </c>
      <c r="C32" s="38">
        <v>2.99</v>
      </c>
      <c r="D32" s="7">
        <v>9.2560000000000002</v>
      </c>
      <c r="E32" s="7">
        <f t="shared" si="3"/>
        <v>9256</v>
      </c>
      <c r="F32" s="7">
        <v>471</v>
      </c>
      <c r="G32" s="8">
        <f t="shared" si="0"/>
        <v>19.651804670912952</v>
      </c>
      <c r="H32" s="34">
        <f t="shared" si="4"/>
        <v>6.3481953290870496</v>
      </c>
    </row>
    <row r="33" spans="1:8" ht="15.75" customHeight="1" x14ac:dyDescent="0.15">
      <c r="A33" s="6">
        <v>45555</v>
      </c>
      <c r="B33" s="7">
        <v>10</v>
      </c>
      <c r="C33" s="38">
        <v>16.09</v>
      </c>
      <c r="D33" s="7">
        <v>13.023999999999999</v>
      </c>
      <c r="E33" s="7">
        <f t="shared" si="3"/>
        <v>13024</v>
      </c>
      <c r="F33" s="7">
        <v>345</v>
      </c>
      <c r="G33" s="8">
        <f t="shared" si="0"/>
        <v>37.750724637681159</v>
      </c>
      <c r="H33" s="34">
        <f t="shared" si="4"/>
        <v>46.637681159420289</v>
      </c>
    </row>
    <row r="34" spans="1:8" ht="15.75" customHeight="1" x14ac:dyDescent="0.15">
      <c r="A34" s="6">
        <v>45558</v>
      </c>
      <c r="B34" s="7">
        <v>11</v>
      </c>
      <c r="C34" s="38">
        <v>26.05</v>
      </c>
      <c r="D34" s="7">
        <v>12.14</v>
      </c>
      <c r="E34" s="7">
        <f t="shared" si="3"/>
        <v>12140</v>
      </c>
      <c r="F34" s="7">
        <v>373</v>
      </c>
      <c r="G34" s="8">
        <f t="shared" si="0"/>
        <v>32.546916890080432</v>
      </c>
      <c r="H34" s="34">
        <f t="shared" si="4"/>
        <v>69.839142091152809</v>
      </c>
    </row>
    <row r="35" spans="1:8" ht="15.75" customHeight="1" x14ac:dyDescent="0.15">
      <c r="A35" s="6">
        <v>45559</v>
      </c>
      <c r="B35" s="7">
        <v>12</v>
      </c>
      <c r="C35" s="38">
        <v>5.36</v>
      </c>
      <c r="D35" s="7">
        <v>7.9180000000000001</v>
      </c>
      <c r="E35" s="7">
        <f t="shared" si="3"/>
        <v>7918</v>
      </c>
      <c r="F35" s="7">
        <v>406</v>
      </c>
      <c r="G35" s="8">
        <f t="shared" si="0"/>
        <v>19.502463054187192</v>
      </c>
      <c r="H35" s="34">
        <f t="shared" si="4"/>
        <v>13.201970443349754</v>
      </c>
    </row>
    <row r="36" spans="1:8" ht="15.75" customHeight="1" x14ac:dyDescent="0.15">
      <c r="A36" s="6">
        <v>45560</v>
      </c>
      <c r="B36" s="7">
        <v>13</v>
      </c>
      <c r="C36" s="38">
        <v>2.2200000000000002</v>
      </c>
      <c r="D36" s="7">
        <v>9.3019999999999996</v>
      </c>
      <c r="E36" s="7">
        <f t="shared" si="3"/>
        <v>9302</v>
      </c>
      <c r="F36" s="7">
        <v>460</v>
      </c>
      <c r="G36" s="8">
        <f t="shared" si="0"/>
        <v>20.221739130434784</v>
      </c>
      <c r="H36" s="34">
        <f t="shared" si="4"/>
        <v>4.8260869565217392</v>
      </c>
    </row>
    <row r="37" spans="1:8" ht="15.75" customHeight="1" x14ac:dyDescent="0.15">
      <c r="A37" s="6">
        <v>45561</v>
      </c>
      <c r="B37" s="7">
        <v>14</v>
      </c>
      <c r="C37" s="38">
        <v>1.7</v>
      </c>
      <c r="D37" s="7">
        <v>8.1780000000000008</v>
      </c>
      <c r="E37" s="7">
        <f t="shared" si="3"/>
        <v>8178.0000000000009</v>
      </c>
      <c r="F37" s="7">
        <v>406</v>
      </c>
      <c r="G37" s="8">
        <f t="shared" si="0"/>
        <v>20.142857142857146</v>
      </c>
      <c r="H37" s="34">
        <f t="shared" si="4"/>
        <v>4.1871921182266005</v>
      </c>
    </row>
    <row r="38" spans="1:8" ht="15.75" customHeight="1" x14ac:dyDescent="0.15">
      <c r="A38" s="6">
        <v>45562</v>
      </c>
      <c r="B38" s="7">
        <v>15</v>
      </c>
      <c r="C38" s="38">
        <v>17.66</v>
      </c>
      <c r="D38" s="7">
        <v>13.358000000000001</v>
      </c>
      <c r="E38" s="7">
        <f t="shared" si="3"/>
        <v>13358</v>
      </c>
      <c r="F38" s="7">
        <v>413</v>
      </c>
      <c r="G38" s="8">
        <f t="shared" si="0"/>
        <v>32.343825665859562</v>
      </c>
      <c r="H38" s="34">
        <f t="shared" si="4"/>
        <v>42.760290556900728</v>
      </c>
    </row>
    <row r="39" spans="1:8" ht="15.75" customHeight="1" x14ac:dyDescent="0.15">
      <c r="A39" s="6">
        <v>45565</v>
      </c>
      <c r="B39" s="7">
        <v>16</v>
      </c>
      <c r="C39" s="38">
        <v>3.7</v>
      </c>
      <c r="D39" s="7">
        <v>17.844999999999999</v>
      </c>
      <c r="E39" s="7">
        <f t="shared" si="3"/>
        <v>17845</v>
      </c>
      <c r="F39" s="7">
        <v>427</v>
      </c>
      <c r="G39" s="8">
        <f t="shared" si="0"/>
        <v>41.791569086651052</v>
      </c>
      <c r="H39" s="34">
        <f t="shared" si="4"/>
        <v>8.6651053864168617</v>
      </c>
    </row>
    <row r="40" spans="1:8" ht="15.75" customHeight="1" x14ac:dyDescent="0.15">
      <c r="A40" s="6">
        <v>45566</v>
      </c>
      <c r="B40" s="7">
        <v>17</v>
      </c>
      <c r="C40" s="38">
        <v>8.1</v>
      </c>
      <c r="D40" s="7">
        <v>3.5139999999999998</v>
      </c>
      <c r="E40" s="7">
        <f t="shared" si="3"/>
        <v>3514</v>
      </c>
      <c r="F40" s="7">
        <v>251</v>
      </c>
      <c r="G40" s="8">
        <f t="shared" si="0"/>
        <v>14</v>
      </c>
      <c r="H40" s="34">
        <f t="shared" si="4"/>
        <v>32.270916334661351</v>
      </c>
    </row>
    <row r="41" spans="1:8" ht="15.75" customHeight="1" x14ac:dyDescent="0.15">
      <c r="A41" s="6">
        <v>45567</v>
      </c>
      <c r="B41" s="7">
        <v>18</v>
      </c>
      <c r="C41" s="38">
        <v>2.0299999999999998</v>
      </c>
      <c r="D41" s="7">
        <v>6.4930000000000003</v>
      </c>
      <c r="E41" s="7">
        <f t="shared" si="3"/>
        <v>6493</v>
      </c>
      <c r="F41" s="7">
        <v>374</v>
      </c>
      <c r="G41" s="8">
        <f t="shared" si="0"/>
        <v>17.360962566844918</v>
      </c>
      <c r="H41" s="34">
        <f t="shared" si="4"/>
        <v>5.427807486631016</v>
      </c>
    </row>
    <row r="42" spans="1:8" ht="15.75" customHeight="1" x14ac:dyDescent="0.15">
      <c r="A42" s="6">
        <v>45568</v>
      </c>
      <c r="B42" s="7">
        <v>19</v>
      </c>
      <c r="C42" s="38">
        <v>16.12</v>
      </c>
      <c r="D42" s="7">
        <v>6.1760000000000002</v>
      </c>
      <c r="E42" s="7">
        <f t="shared" si="3"/>
        <v>6176</v>
      </c>
      <c r="F42" s="7">
        <v>443</v>
      </c>
      <c r="G42" s="8">
        <f t="shared" si="0"/>
        <v>13.941309255079007</v>
      </c>
      <c r="H42" s="34">
        <f t="shared" si="4"/>
        <v>36.388261851015805</v>
      </c>
    </row>
    <row r="43" spans="1:8" ht="15.75" customHeight="1" x14ac:dyDescent="0.15">
      <c r="A43" s="6">
        <v>45569</v>
      </c>
      <c r="B43" s="7">
        <v>20</v>
      </c>
      <c r="C43" s="38">
        <v>8.5</v>
      </c>
      <c r="D43" s="7">
        <v>8.1780000000000008</v>
      </c>
      <c r="E43" s="7">
        <f t="shared" si="3"/>
        <v>8178.0000000000009</v>
      </c>
      <c r="F43" s="7">
        <v>437</v>
      </c>
      <c r="G43" s="8">
        <f t="shared" si="0"/>
        <v>18.71395881006865</v>
      </c>
      <c r="H43" s="34">
        <f t="shared" si="4"/>
        <v>19.450800915331808</v>
      </c>
    </row>
    <row r="44" spans="1:8" ht="15.75" customHeight="1" x14ac:dyDescent="0.15">
      <c r="A44" s="6">
        <v>45572</v>
      </c>
      <c r="B44" s="7">
        <v>21</v>
      </c>
      <c r="C44" s="38">
        <v>6.37</v>
      </c>
      <c r="D44" s="7">
        <v>15.449</v>
      </c>
      <c r="E44" s="7">
        <f t="shared" si="3"/>
        <v>15449</v>
      </c>
      <c r="F44" s="7">
        <v>395</v>
      </c>
      <c r="G44" s="8">
        <f t="shared" si="0"/>
        <v>39.111392405063292</v>
      </c>
      <c r="H44" s="34">
        <f t="shared" si="4"/>
        <v>16.126582278481013</v>
      </c>
    </row>
    <row r="45" spans="1:8" ht="15.75" customHeight="1" x14ac:dyDescent="0.15">
      <c r="A45" s="6">
        <v>45573</v>
      </c>
      <c r="B45" s="7">
        <v>22</v>
      </c>
      <c r="C45" s="38">
        <v>7.26</v>
      </c>
      <c r="D45" s="7">
        <v>11.88</v>
      </c>
      <c r="E45" s="7">
        <f t="shared" si="3"/>
        <v>11880</v>
      </c>
      <c r="F45" s="7">
        <v>424</v>
      </c>
      <c r="G45" s="8">
        <f t="shared" si="0"/>
        <v>28.018867924528301</v>
      </c>
      <c r="H45" s="34">
        <f t="shared" si="4"/>
        <v>17.122641509433961</v>
      </c>
    </row>
    <row r="46" spans="1:8" ht="15.75" customHeight="1" x14ac:dyDescent="0.15">
      <c r="A46" s="6">
        <v>45574</v>
      </c>
      <c r="B46" s="7">
        <v>23</v>
      </c>
      <c r="C46" s="38">
        <v>16.309999999999999</v>
      </c>
      <c r="D46" s="7">
        <v>6.7859999999999996</v>
      </c>
      <c r="E46" s="7">
        <f t="shared" si="3"/>
        <v>6786</v>
      </c>
      <c r="F46" s="7">
        <v>414</v>
      </c>
      <c r="G46" s="8">
        <f t="shared" si="0"/>
        <v>16.391304347826086</v>
      </c>
      <c r="H46" s="34">
        <f t="shared" si="4"/>
        <v>39.39613526570048</v>
      </c>
    </row>
    <row r="47" spans="1:8" ht="15.75" customHeight="1" x14ac:dyDescent="0.15">
      <c r="A47" s="6">
        <v>45575</v>
      </c>
      <c r="B47" s="7">
        <v>24</v>
      </c>
      <c r="C47" s="38">
        <v>3.15</v>
      </c>
      <c r="D47" s="7">
        <v>6.5490000000000004</v>
      </c>
      <c r="E47" s="7">
        <f t="shared" si="3"/>
        <v>6549</v>
      </c>
      <c r="F47" s="7">
        <v>376</v>
      </c>
      <c r="G47" s="8">
        <f t="shared" si="0"/>
        <v>17.417553191489361</v>
      </c>
      <c r="H47" s="34">
        <f t="shared" si="4"/>
        <v>8.3776595744680851</v>
      </c>
    </row>
    <row r="48" spans="1:8" ht="15.75" customHeight="1" x14ac:dyDescent="0.15">
      <c r="A48" s="6">
        <v>45576</v>
      </c>
      <c r="B48" s="7">
        <v>25</v>
      </c>
      <c r="C48" s="38">
        <v>45.03</v>
      </c>
      <c r="D48" s="7">
        <v>13.499000000000001</v>
      </c>
      <c r="E48" s="7">
        <f t="shared" si="3"/>
        <v>13499</v>
      </c>
      <c r="F48" s="7">
        <v>480</v>
      </c>
      <c r="G48" s="8">
        <f t="shared" si="0"/>
        <v>28.122916666666665</v>
      </c>
      <c r="H48" s="34">
        <f t="shared" si="4"/>
        <v>93.8125</v>
      </c>
    </row>
    <row r="49" spans="1:8" ht="15.75" customHeight="1" x14ac:dyDescent="0.15">
      <c r="A49" s="6">
        <v>45586</v>
      </c>
      <c r="B49" s="7">
        <v>6</v>
      </c>
      <c r="C49" s="38">
        <v>3.86</v>
      </c>
      <c r="D49" s="7">
        <v>14.311999999999999</v>
      </c>
      <c r="E49" s="7">
        <f t="shared" si="3"/>
        <v>14312</v>
      </c>
      <c r="F49" s="7">
        <v>408</v>
      </c>
      <c r="G49" s="8">
        <f t="shared" si="0"/>
        <v>35.078431372549019</v>
      </c>
      <c r="H49" s="34">
        <f t="shared" si="4"/>
        <v>9.4607843137254903</v>
      </c>
    </row>
    <row r="50" spans="1:8" ht="15.75" customHeight="1" x14ac:dyDescent="0.15">
      <c r="A50" s="6">
        <v>45587</v>
      </c>
      <c r="B50" s="7">
        <v>7</v>
      </c>
      <c r="C50" s="38">
        <v>6.81</v>
      </c>
      <c r="D50" s="7">
        <v>8.673</v>
      </c>
      <c r="E50" s="7">
        <f t="shared" si="3"/>
        <v>8673</v>
      </c>
      <c r="F50" s="7">
        <v>387</v>
      </c>
      <c r="G50" s="8">
        <f t="shared" si="0"/>
        <v>22.410852713178294</v>
      </c>
      <c r="H50" s="34">
        <f t="shared" si="4"/>
        <v>17.596899224806201</v>
      </c>
    </row>
    <row r="51" spans="1:8" ht="13" x14ac:dyDescent="0.15">
      <c r="A51" s="6">
        <v>45588</v>
      </c>
      <c r="B51" s="7">
        <v>8</v>
      </c>
      <c r="C51" s="38">
        <v>4.5199999999999996</v>
      </c>
      <c r="D51" s="7">
        <v>8.0850000000000009</v>
      </c>
      <c r="E51" s="7">
        <f t="shared" si="3"/>
        <v>8085.0000000000009</v>
      </c>
      <c r="F51" s="7">
        <v>411</v>
      </c>
      <c r="G51" s="8">
        <f t="shared" si="0"/>
        <v>19.67153284671533</v>
      </c>
      <c r="H51" s="34">
        <f t="shared" si="4"/>
        <v>10.997566909975667</v>
      </c>
    </row>
    <row r="52" spans="1:8" ht="13" x14ac:dyDescent="0.15">
      <c r="A52" s="6">
        <v>45589</v>
      </c>
      <c r="B52" s="7">
        <v>9</v>
      </c>
      <c r="C52" s="38">
        <v>13.41</v>
      </c>
      <c r="D52" s="7">
        <v>10.217000000000001</v>
      </c>
      <c r="E52" s="7">
        <f t="shared" si="3"/>
        <v>10217</v>
      </c>
      <c r="F52" s="7">
        <v>426</v>
      </c>
      <c r="G52" s="8">
        <f t="shared" si="0"/>
        <v>23.983568075117372</v>
      </c>
      <c r="H52" s="34">
        <f t="shared" si="4"/>
        <v>31.47887323943662</v>
      </c>
    </row>
    <row r="53" spans="1:8" ht="13" x14ac:dyDescent="0.15">
      <c r="A53" s="6">
        <v>45590</v>
      </c>
      <c r="B53" s="7">
        <v>10</v>
      </c>
      <c r="C53" s="38">
        <v>18.260000000000002</v>
      </c>
      <c r="D53" s="7">
        <v>15.109</v>
      </c>
      <c r="E53" s="7">
        <f t="shared" si="3"/>
        <v>15109</v>
      </c>
      <c r="F53" s="7">
        <v>345</v>
      </c>
      <c r="G53" s="8">
        <f t="shared" si="0"/>
        <v>43.794202898550722</v>
      </c>
      <c r="H53" s="34">
        <f t="shared" si="4"/>
        <v>52.927536231884062</v>
      </c>
    </row>
    <row r="54" spans="1:8" ht="13" x14ac:dyDescent="0.15">
      <c r="A54" s="6">
        <v>45593</v>
      </c>
      <c r="B54" s="7">
        <v>11</v>
      </c>
      <c r="C54" s="38">
        <v>9.08</v>
      </c>
      <c r="D54" s="7">
        <v>13.404</v>
      </c>
      <c r="E54" s="7">
        <f t="shared" si="3"/>
        <v>13404</v>
      </c>
      <c r="F54" s="7">
        <v>375</v>
      </c>
      <c r="G54" s="8">
        <f t="shared" si="0"/>
        <v>35.744</v>
      </c>
      <c r="H54" s="34">
        <f t="shared" si="4"/>
        <v>24.213333333333335</v>
      </c>
    </row>
    <row r="55" spans="1:8" ht="13" x14ac:dyDescent="0.15">
      <c r="A55" s="6">
        <v>45594</v>
      </c>
      <c r="B55" s="7">
        <v>12</v>
      </c>
      <c r="C55" s="38">
        <v>2.67</v>
      </c>
      <c r="D55" s="7">
        <v>6.1959999999999997</v>
      </c>
      <c r="E55" s="7">
        <f t="shared" si="3"/>
        <v>6196</v>
      </c>
      <c r="F55" s="7">
        <v>403</v>
      </c>
      <c r="G55" s="8">
        <f t="shared" si="0"/>
        <v>15.374689826302729</v>
      </c>
      <c r="H55" s="34">
        <f t="shared" si="4"/>
        <v>6.6253101736972706</v>
      </c>
    </row>
    <row r="56" spans="1:8" ht="13" x14ac:dyDescent="0.15">
      <c r="A56" s="6">
        <v>45595</v>
      </c>
      <c r="B56" s="7">
        <v>13</v>
      </c>
      <c r="C56" s="38">
        <v>4.3899999999999997</v>
      </c>
      <c r="D56" s="7">
        <v>11.714</v>
      </c>
      <c r="E56" s="7">
        <f t="shared" si="3"/>
        <v>11714</v>
      </c>
      <c r="F56" s="7">
        <v>479</v>
      </c>
      <c r="G56" s="8">
        <f t="shared" si="0"/>
        <v>24.455114822546975</v>
      </c>
      <c r="H56" s="34">
        <f t="shared" si="4"/>
        <v>9.1649269311064714</v>
      </c>
    </row>
    <row r="57" spans="1:8" ht="13" x14ac:dyDescent="0.15">
      <c r="A57" s="6">
        <v>45596</v>
      </c>
      <c r="B57" s="7">
        <v>14</v>
      </c>
      <c r="C57" s="38">
        <v>4.46</v>
      </c>
      <c r="D57" s="7">
        <v>5.3970000000000002</v>
      </c>
      <c r="E57" s="7">
        <f t="shared" si="3"/>
        <v>5397</v>
      </c>
      <c r="F57" s="7">
        <v>405</v>
      </c>
      <c r="G57" s="8">
        <f t="shared" si="0"/>
        <v>13.325925925925926</v>
      </c>
      <c r="H57" s="34">
        <f t="shared" si="4"/>
        <v>11.012345679012347</v>
      </c>
    </row>
    <row r="58" spans="1:8" ht="13" x14ac:dyDescent="0.15">
      <c r="A58" s="6">
        <v>45597</v>
      </c>
      <c r="B58" s="7">
        <v>15</v>
      </c>
      <c r="C58" s="38">
        <v>10.61</v>
      </c>
      <c r="D58" s="7">
        <v>10.362</v>
      </c>
      <c r="E58" s="7">
        <f t="shared" si="3"/>
        <v>10362</v>
      </c>
      <c r="F58" s="7">
        <v>402</v>
      </c>
      <c r="G58" s="8">
        <f t="shared" si="0"/>
        <v>25.776119402985074</v>
      </c>
      <c r="H58" s="34">
        <f t="shared" si="4"/>
        <v>26.393034825870647</v>
      </c>
    </row>
    <row r="59" spans="1:8" ht="13" x14ac:dyDescent="0.15">
      <c r="A59" s="6">
        <v>45600</v>
      </c>
      <c r="B59" s="7">
        <v>16</v>
      </c>
      <c r="C59" s="38">
        <v>7.57</v>
      </c>
      <c r="D59" s="7">
        <v>20.812999999999999</v>
      </c>
      <c r="E59" s="7">
        <f t="shared" si="3"/>
        <v>20813</v>
      </c>
      <c r="F59" s="7">
        <v>398</v>
      </c>
      <c r="G59" s="8">
        <f t="shared" si="0"/>
        <v>52.293969849246231</v>
      </c>
      <c r="H59" s="34">
        <f t="shared" si="4"/>
        <v>19.020100502512566</v>
      </c>
    </row>
    <row r="60" spans="1:8" ht="13" x14ac:dyDescent="0.15">
      <c r="A60" s="6">
        <v>45601</v>
      </c>
      <c r="B60" s="7">
        <v>17</v>
      </c>
      <c r="C60" s="38">
        <v>4.5</v>
      </c>
      <c r="D60" s="7">
        <v>5.9240000000000004</v>
      </c>
      <c r="E60" s="7">
        <f t="shared" si="3"/>
        <v>5924</v>
      </c>
      <c r="F60" s="7">
        <v>411</v>
      </c>
      <c r="G60" s="8">
        <f t="shared" si="0"/>
        <v>14.413625304136254</v>
      </c>
      <c r="H60" s="34">
        <f t="shared" si="4"/>
        <v>10.948905109489052</v>
      </c>
    </row>
    <row r="61" spans="1:8" ht="13" x14ac:dyDescent="0.15">
      <c r="A61" s="6">
        <v>45602</v>
      </c>
      <c r="B61" s="7">
        <v>18</v>
      </c>
      <c r="C61" s="38">
        <v>11</v>
      </c>
      <c r="D61" s="7">
        <v>8.2200000000000006</v>
      </c>
      <c r="E61" s="7">
        <f t="shared" si="3"/>
        <v>8220</v>
      </c>
      <c r="F61" s="7">
        <v>387</v>
      </c>
      <c r="G61" s="8">
        <f t="shared" si="0"/>
        <v>21.240310077519378</v>
      </c>
      <c r="H61" s="34">
        <f t="shared" si="4"/>
        <v>28.423772609819121</v>
      </c>
    </row>
    <row r="62" spans="1:8" ht="13" x14ac:dyDescent="0.15">
      <c r="A62" s="6">
        <v>45603</v>
      </c>
      <c r="B62" s="7">
        <v>19</v>
      </c>
      <c r="C62" s="38">
        <v>5.66</v>
      </c>
      <c r="D62" s="7">
        <v>9.2759999999999998</v>
      </c>
      <c r="E62" s="7">
        <f t="shared" si="3"/>
        <v>9276</v>
      </c>
      <c r="F62" s="7">
        <v>403</v>
      </c>
      <c r="G62" s="8">
        <f t="shared" si="0"/>
        <v>23.017369727047146</v>
      </c>
      <c r="H62" s="34">
        <f t="shared" si="4"/>
        <v>14.044665012406949</v>
      </c>
    </row>
    <row r="63" spans="1:8" ht="13" x14ac:dyDescent="0.15">
      <c r="A63" s="6">
        <v>45604</v>
      </c>
      <c r="B63" s="7">
        <v>20</v>
      </c>
      <c r="C63" s="38">
        <v>17.02</v>
      </c>
      <c r="D63" s="7">
        <v>7.3949999999999996</v>
      </c>
      <c r="E63" s="7">
        <f t="shared" si="3"/>
        <v>7395</v>
      </c>
      <c r="F63" s="7">
        <v>413</v>
      </c>
      <c r="G63" s="8">
        <f t="shared" si="0"/>
        <v>17.905569007263921</v>
      </c>
      <c r="H63" s="34">
        <f t="shared" si="4"/>
        <v>41.210653753026634</v>
      </c>
    </row>
    <row r="64" spans="1:8" ht="13" x14ac:dyDescent="0.15">
      <c r="A64" s="6">
        <v>45607</v>
      </c>
      <c r="B64" s="7">
        <v>21</v>
      </c>
      <c r="C64" s="38">
        <v>3.86</v>
      </c>
      <c r="D64" s="7">
        <v>11.919</v>
      </c>
      <c r="E64" s="7">
        <f t="shared" si="3"/>
        <v>11919</v>
      </c>
      <c r="F64" s="7">
        <v>425</v>
      </c>
      <c r="G64" s="8">
        <f t="shared" si="0"/>
        <v>28.04470588235294</v>
      </c>
      <c r="H64" s="34">
        <f t="shared" si="4"/>
        <v>9.0823529411764703</v>
      </c>
    </row>
    <row r="65" spans="1:8" ht="13" x14ac:dyDescent="0.15">
      <c r="A65" s="6">
        <v>45608</v>
      </c>
      <c r="B65" s="7">
        <v>22</v>
      </c>
      <c r="C65" s="38">
        <v>3.02</v>
      </c>
      <c r="D65" s="7">
        <v>6.4320000000000004</v>
      </c>
      <c r="E65" s="7">
        <f t="shared" si="3"/>
        <v>6432</v>
      </c>
      <c r="F65" s="7">
        <v>346</v>
      </c>
      <c r="G65" s="8">
        <f t="shared" si="0"/>
        <v>18.589595375722542</v>
      </c>
      <c r="H65" s="34">
        <f t="shared" si="4"/>
        <v>8.7283236994219653</v>
      </c>
    </row>
    <row r="66" spans="1:8" ht="13" x14ac:dyDescent="0.15">
      <c r="A66" s="6">
        <v>45609</v>
      </c>
      <c r="B66" s="7">
        <v>23</v>
      </c>
      <c r="C66" s="38">
        <v>3.08</v>
      </c>
      <c r="D66" s="7">
        <v>8.7059999999999995</v>
      </c>
      <c r="E66" s="7">
        <f t="shared" si="3"/>
        <v>8706</v>
      </c>
      <c r="F66" s="7">
        <v>421</v>
      </c>
      <c r="G66" s="8">
        <f t="shared" si="0"/>
        <v>20.679334916864608</v>
      </c>
      <c r="H66" s="34">
        <f t="shared" si="4"/>
        <v>7.3159144893111643</v>
      </c>
    </row>
    <row r="67" spans="1:8" ht="13" x14ac:dyDescent="0.15">
      <c r="A67" s="6">
        <v>45610</v>
      </c>
      <c r="B67" s="7">
        <v>24</v>
      </c>
      <c r="C67" s="38">
        <v>6.71</v>
      </c>
      <c r="D67" s="7">
        <v>22.478000000000002</v>
      </c>
      <c r="E67" s="7">
        <f t="shared" si="3"/>
        <v>22478</v>
      </c>
      <c r="F67" s="7">
        <v>546</v>
      </c>
      <c r="G67" s="8">
        <f t="shared" si="0"/>
        <v>41.168498168498168</v>
      </c>
      <c r="H67" s="34">
        <f t="shared" si="4"/>
        <v>12.28937728937729</v>
      </c>
    </row>
    <row r="68" spans="1:8" ht="13" x14ac:dyDescent="0.15">
      <c r="A68" s="6">
        <v>45611</v>
      </c>
      <c r="B68" s="7">
        <v>25</v>
      </c>
      <c r="C68" s="38">
        <v>11.32</v>
      </c>
      <c r="D68" s="7">
        <v>11.2</v>
      </c>
      <c r="E68" s="7">
        <f t="shared" si="3"/>
        <v>11200</v>
      </c>
      <c r="F68" s="7">
        <v>463</v>
      </c>
      <c r="G68" s="8">
        <f t="shared" si="0"/>
        <v>24.190064794816415</v>
      </c>
      <c r="H68" s="34">
        <f t="shared" si="4"/>
        <v>24.449244060475163</v>
      </c>
    </row>
    <row r="69" spans="1:8" ht="13" x14ac:dyDescent="0.15">
      <c r="A69" s="6">
        <v>45614</v>
      </c>
      <c r="B69" s="7">
        <v>1</v>
      </c>
      <c r="C69" s="38">
        <v>0.56999999999999995</v>
      </c>
      <c r="D69" s="7">
        <v>11.611000000000001</v>
      </c>
      <c r="E69" s="7">
        <f t="shared" si="3"/>
        <v>11611</v>
      </c>
      <c r="F69" s="7">
        <v>382</v>
      </c>
      <c r="G69" s="8">
        <f t="shared" si="0"/>
        <v>30.395287958115183</v>
      </c>
      <c r="H69" s="34">
        <f t="shared" si="4"/>
        <v>1.4921465968586387</v>
      </c>
    </row>
    <row r="70" spans="1:8" ht="13" x14ac:dyDescent="0.15">
      <c r="A70" s="6">
        <v>45615</v>
      </c>
      <c r="B70" s="7">
        <v>2</v>
      </c>
      <c r="C70" s="38">
        <v>4.5599999999999996</v>
      </c>
      <c r="D70" s="7">
        <v>8.6780000000000008</v>
      </c>
      <c r="E70" s="7">
        <f t="shared" si="3"/>
        <v>8678</v>
      </c>
      <c r="F70" s="7">
        <v>430</v>
      </c>
      <c r="G70" s="8">
        <f t="shared" si="0"/>
        <v>20.18139534883721</v>
      </c>
      <c r="H70" s="34">
        <f t="shared" si="4"/>
        <v>10.604651162790697</v>
      </c>
    </row>
    <row r="71" spans="1:8" ht="13" x14ac:dyDescent="0.15">
      <c r="A71" s="6">
        <v>45616</v>
      </c>
      <c r="B71" s="7">
        <v>3</v>
      </c>
      <c r="C71" s="38">
        <v>8.57</v>
      </c>
      <c r="D71" s="7">
        <v>11.137</v>
      </c>
      <c r="E71" s="7">
        <f t="shared" si="3"/>
        <v>11137</v>
      </c>
      <c r="F71" s="7">
        <v>370</v>
      </c>
      <c r="G71" s="8">
        <f t="shared" si="0"/>
        <v>30.1</v>
      </c>
      <c r="H71" s="34">
        <f t="shared" si="4"/>
        <v>23.162162162162161</v>
      </c>
    </row>
    <row r="72" spans="1:8" ht="13" x14ac:dyDescent="0.15">
      <c r="A72" s="6">
        <v>45617</v>
      </c>
      <c r="B72" s="7">
        <v>4</v>
      </c>
      <c r="C72" s="38">
        <v>9.36</v>
      </c>
      <c r="D72" s="7">
        <v>14.218</v>
      </c>
      <c r="E72" s="7">
        <f t="shared" si="3"/>
        <v>14218</v>
      </c>
      <c r="F72" s="7">
        <v>424</v>
      </c>
      <c r="G72" s="8">
        <f t="shared" si="0"/>
        <v>33.533018867924525</v>
      </c>
      <c r="H72" s="34">
        <f t="shared" si="4"/>
        <v>22.075471698113205</v>
      </c>
    </row>
    <row r="73" spans="1:8" ht="13" x14ac:dyDescent="0.15">
      <c r="A73" s="6">
        <v>45618</v>
      </c>
      <c r="B73" s="7">
        <v>5</v>
      </c>
      <c r="C73" s="38">
        <v>6.25</v>
      </c>
      <c r="D73" s="7">
        <v>5.6989999999999998</v>
      </c>
      <c r="E73" s="7">
        <f t="shared" si="3"/>
        <v>5699</v>
      </c>
      <c r="F73" s="7">
        <v>399</v>
      </c>
      <c r="G73" s="8">
        <f t="shared" si="0"/>
        <v>14.283208020050125</v>
      </c>
      <c r="H73" s="34">
        <f t="shared" si="4"/>
        <v>15.664160401002505</v>
      </c>
    </row>
    <row r="74" spans="1:8" ht="13" x14ac:dyDescent="0.15">
      <c r="A74" s="6">
        <v>45621</v>
      </c>
      <c r="B74" s="7">
        <v>6</v>
      </c>
      <c r="C74" s="38">
        <v>4.5999999999999996</v>
      </c>
      <c r="D74" s="7">
        <v>10.307</v>
      </c>
      <c r="E74" s="7">
        <f t="shared" si="3"/>
        <v>10307</v>
      </c>
      <c r="F74" s="7">
        <v>403</v>
      </c>
      <c r="G74" s="8">
        <f t="shared" si="0"/>
        <v>25.575682382133994</v>
      </c>
      <c r="H74" s="34">
        <f t="shared" si="4"/>
        <v>11.414392059553348</v>
      </c>
    </row>
    <row r="75" spans="1:8" ht="13" x14ac:dyDescent="0.15">
      <c r="A75" s="6">
        <v>45622</v>
      </c>
      <c r="B75" s="7">
        <v>7</v>
      </c>
      <c r="C75" s="38">
        <v>3</v>
      </c>
      <c r="D75" s="7">
        <v>8.2270000000000003</v>
      </c>
      <c r="E75" s="7">
        <f t="shared" si="3"/>
        <v>8227</v>
      </c>
      <c r="F75" s="7">
        <v>449</v>
      </c>
      <c r="G75" s="8">
        <f t="shared" si="0"/>
        <v>18.322939866369712</v>
      </c>
      <c r="H75" s="34">
        <f t="shared" si="4"/>
        <v>6.6815144766146997</v>
      </c>
    </row>
    <row r="76" spans="1:8" ht="13" x14ac:dyDescent="0.15">
      <c r="A76" s="6">
        <v>45623</v>
      </c>
      <c r="B76" s="7">
        <v>8</v>
      </c>
      <c r="C76" s="38">
        <v>9.56</v>
      </c>
      <c r="D76" s="7">
        <v>9.1989999999999998</v>
      </c>
      <c r="E76" s="7">
        <f t="shared" si="3"/>
        <v>9199</v>
      </c>
      <c r="F76" s="7">
        <v>376</v>
      </c>
      <c r="G76" s="8">
        <f t="shared" si="0"/>
        <v>24.465425531914892</v>
      </c>
      <c r="H76" s="34">
        <f t="shared" si="4"/>
        <v>25.425531914893618</v>
      </c>
    </row>
    <row r="77" spans="1:8" ht="13" x14ac:dyDescent="0.15">
      <c r="A77" s="6">
        <v>45624</v>
      </c>
      <c r="B77" s="7">
        <v>9</v>
      </c>
      <c r="C77" s="38">
        <v>5.84</v>
      </c>
      <c r="D77" s="7">
        <v>10.092000000000001</v>
      </c>
      <c r="E77" s="7">
        <f t="shared" si="3"/>
        <v>10092</v>
      </c>
      <c r="F77" s="7">
        <v>391</v>
      </c>
      <c r="G77" s="8">
        <f t="shared" si="0"/>
        <v>25.81074168797954</v>
      </c>
      <c r="H77" s="34">
        <f t="shared" si="4"/>
        <v>14.93606138107417</v>
      </c>
    </row>
    <row r="78" spans="1:8" ht="13" x14ac:dyDescent="0.15">
      <c r="A78" s="6">
        <v>45625</v>
      </c>
      <c r="B78" s="7">
        <v>10</v>
      </c>
      <c r="C78" s="38">
        <v>2.57</v>
      </c>
      <c r="D78" s="7">
        <v>7.1230000000000002</v>
      </c>
      <c r="E78" s="7">
        <f t="shared" si="3"/>
        <v>7123</v>
      </c>
      <c r="F78" s="7">
        <v>297</v>
      </c>
      <c r="G78" s="8">
        <f t="shared" si="0"/>
        <v>23.983164983164983</v>
      </c>
      <c r="H78" s="34">
        <f t="shared" si="4"/>
        <v>8.6531986531986522</v>
      </c>
    </row>
    <row r="79" spans="1:8" ht="13" x14ac:dyDescent="0.15">
      <c r="A79" s="6">
        <v>45628</v>
      </c>
      <c r="B79" s="7">
        <v>11</v>
      </c>
      <c r="C79" s="38">
        <v>1.66</v>
      </c>
      <c r="D79" s="7">
        <v>16.202000000000002</v>
      </c>
      <c r="E79" s="7">
        <f t="shared" si="3"/>
        <v>16202.000000000002</v>
      </c>
      <c r="F79" s="7">
        <v>310</v>
      </c>
      <c r="G79" s="8">
        <f t="shared" si="0"/>
        <v>52.264516129032266</v>
      </c>
      <c r="H79" s="34">
        <f t="shared" si="4"/>
        <v>5.354838709677419</v>
      </c>
    </row>
    <row r="80" spans="1:8" ht="13" x14ac:dyDescent="0.15">
      <c r="A80" s="6">
        <v>45629</v>
      </c>
      <c r="B80" s="7">
        <v>12</v>
      </c>
      <c r="C80" s="38">
        <v>4.58</v>
      </c>
      <c r="D80" s="7">
        <v>8.766</v>
      </c>
      <c r="E80" s="7">
        <f t="shared" si="3"/>
        <v>8766</v>
      </c>
      <c r="F80" s="7">
        <v>348</v>
      </c>
      <c r="G80" s="8">
        <f t="shared" si="0"/>
        <v>25.189655172413794</v>
      </c>
      <c r="H80" s="34">
        <f t="shared" si="4"/>
        <v>13.160919540229886</v>
      </c>
    </row>
    <row r="81" spans="1:8" ht="13" x14ac:dyDescent="0.15">
      <c r="A81" s="6">
        <v>45630</v>
      </c>
      <c r="B81" s="7">
        <v>13</v>
      </c>
      <c r="C81" s="38">
        <v>6.11</v>
      </c>
      <c r="D81" s="7">
        <v>9.2940000000000005</v>
      </c>
      <c r="E81" s="7">
        <f t="shared" si="3"/>
        <v>9294</v>
      </c>
      <c r="F81" s="7">
        <v>408</v>
      </c>
      <c r="G81" s="8">
        <f t="shared" si="0"/>
        <v>22.779411764705884</v>
      </c>
      <c r="H81" s="34">
        <f t="shared" si="4"/>
        <v>14.975490196078432</v>
      </c>
    </row>
    <row r="82" spans="1:8" ht="13" x14ac:dyDescent="0.15">
      <c r="A82" s="6">
        <v>45631</v>
      </c>
      <c r="B82" s="7">
        <v>14</v>
      </c>
      <c r="C82" s="38">
        <v>14.09</v>
      </c>
      <c r="D82" s="7">
        <v>8.0549999999999997</v>
      </c>
      <c r="E82" s="7">
        <f t="shared" si="3"/>
        <v>8055</v>
      </c>
      <c r="F82" s="7">
        <v>359</v>
      </c>
      <c r="G82" s="8">
        <f t="shared" si="0"/>
        <v>22.437325905292479</v>
      </c>
      <c r="H82" s="34">
        <f t="shared" si="4"/>
        <v>39.247910863509745</v>
      </c>
    </row>
    <row r="83" spans="1:8" ht="13" x14ac:dyDescent="0.15">
      <c r="A83" s="6">
        <v>45635</v>
      </c>
      <c r="B83" s="7">
        <v>16</v>
      </c>
      <c r="C83" s="38">
        <v>2.63</v>
      </c>
      <c r="D83" s="7">
        <v>13.023</v>
      </c>
      <c r="E83" s="7">
        <f t="shared" si="3"/>
        <v>13023</v>
      </c>
      <c r="F83" s="7">
        <v>347</v>
      </c>
      <c r="G83" s="8">
        <f t="shared" si="0"/>
        <v>37.530259365994233</v>
      </c>
      <c r="H83" s="34">
        <f t="shared" si="4"/>
        <v>7.5792507204610944</v>
      </c>
    </row>
    <row r="84" spans="1:8" ht="13" x14ac:dyDescent="0.15">
      <c r="A84" s="6">
        <v>45636</v>
      </c>
      <c r="B84" s="7">
        <v>17</v>
      </c>
      <c r="C84" s="38">
        <v>4.1399999999999997</v>
      </c>
      <c r="D84" s="7">
        <v>3.2810000000000001</v>
      </c>
      <c r="E84" s="7">
        <f t="shared" si="3"/>
        <v>3281</v>
      </c>
      <c r="F84" s="7">
        <v>318</v>
      </c>
      <c r="G84" s="8">
        <f t="shared" si="0"/>
        <v>10.317610062893081</v>
      </c>
      <c r="H84" s="34">
        <f t="shared" si="4"/>
        <v>13.018867924528301</v>
      </c>
    </row>
    <row r="85" spans="1:8" ht="13" x14ac:dyDescent="0.15">
      <c r="A85" s="6">
        <v>45637</v>
      </c>
      <c r="B85" s="7">
        <v>18</v>
      </c>
      <c r="C85" s="38">
        <v>12.37</v>
      </c>
      <c r="D85" s="7">
        <v>6.9649999999999999</v>
      </c>
      <c r="E85" s="7">
        <f t="shared" si="3"/>
        <v>6965</v>
      </c>
      <c r="F85" s="7">
        <v>334</v>
      </c>
      <c r="G85" s="8">
        <f t="shared" si="0"/>
        <v>20.853293413173652</v>
      </c>
      <c r="H85" s="34">
        <f t="shared" si="4"/>
        <v>37.035928143712574</v>
      </c>
    </row>
    <row r="86" spans="1:8" ht="13" x14ac:dyDescent="0.15">
      <c r="A86" s="6">
        <v>45638</v>
      </c>
      <c r="B86" s="7">
        <v>19</v>
      </c>
      <c r="C86" s="38">
        <v>5.35</v>
      </c>
      <c r="D86" s="7">
        <v>6.1159999999999997</v>
      </c>
      <c r="E86" s="7">
        <f t="shared" si="3"/>
        <v>6116</v>
      </c>
      <c r="F86" s="7">
        <v>340</v>
      </c>
      <c r="G86" s="8">
        <f t="shared" si="0"/>
        <v>17.988235294117647</v>
      </c>
      <c r="H86" s="34">
        <f t="shared" si="4"/>
        <v>15.73529411764706</v>
      </c>
    </row>
    <row r="87" spans="1:8" ht="13" x14ac:dyDescent="0.15">
      <c r="A87" s="6">
        <v>45639</v>
      </c>
      <c r="B87" s="7">
        <v>20</v>
      </c>
      <c r="C87" s="38">
        <v>5.87</v>
      </c>
      <c r="D87" s="7">
        <v>8.3249999999999993</v>
      </c>
      <c r="E87" s="7">
        <f t="shared" si="3"/>
        <v>8325</v>
      </c>
      <c r="F87" s="7">
        <v>377</v>
      </c>
      <c r="G87" s="8">
        <f t="shared" si="0"/>
        <v>22.082228116710876</v>
      </c>
      <c r="H87" s="34">
        <f t="shared" si="4"/>
        <v>15.570291777188329</v>
      </c>
    </row>
    <row r="88" spans="1:8" ht="13" x14ac:dyDescent="0.15">
      <c r="A88" s="6">
        <v>45642</v>
      </c>
      <c r="B88" s="7">
        <v>21</v>
      </c>
      <c r="C88" s="38">
        <v>4.72</v>
      </c>
      <c r="D88" s="7">
        <v>9.3829999999999991</v>
      </c>
      <c r="E88" s="7">
        <f t="shared" si="3"/>
        <v>9383</v>
      </c>
      <c r="F88" s="7">
        <v>404</v>
      </c>
      <c r="G88" s="8">
        <f t="shared" si="0"/>
        <v>23.225247524752476</v>
      </c>
      <c r="H88" s="34">
        <f t="shared" si="4"/>
        <v>11.683168316831683</v>
      </c>
    </row>
    <row r="89" spans="1:8" ht="13" x14ac:dyDescent="0.15">
      <c r="A89" s="6">
        <v>45643</v>
      </c>
      <c r="B89" s="7">
        <v>22</v>
      </c>
      <c r="C89" s="38">
        <v>3.16</v>
      </c>
      <c r="D89" s="7">
        <v>4.742</v>
      </c>
      <c r="E89" s="7">
        <f t="shared" si="3"/>
        <v>4742</v>
      </c>
      <c r="F89" s="7">
        <v>330</v>
      </c>
      <c r="G89" s="8">
        <f t="shared" si="0"/>
        <v>14.369696969696969</v>
      </c>
      <c r="H89" s="34">
        <f t="shared" si="4"/>
        <v>9.5757575757575761</v>
      </c>
    </row>
    <row r="90" spans="1:8" ht="13" x14ac:dyDescent="0.15">
      <c r="A90" s="6">
        <v>45644</v>
      </c>
      <c r="B90" s="7">
        <v>23</v>
      </c>
      <c r="C90" s="38">
        <v>10.34</v>
      </c>
      <c r="D90" s="7">
        <v>14.47</v>
      </c>
      <c r="E90" s="7">
        <f t="shared" si="3"/>
        <v>14470</v>
      </c>
      <c r="F90" s="7">
        <v>459</v>
      </c>
      <c r="G90" s="8">
        <f t="shared" si="0"/>
        <v>31.525054466230937</v>
      </c>
      <c r="H90" s="34">
        <f t="shared" si="4"/>
        <v>22.527233115468409</v>
      </c>
    </row>
    <row r="91" spans="1:8" ht="13" x14ac:dyDescent="0.15">
      <c r="A91" s="6">
        <v>45645</v>
      </c>
      <c r="B91" s="7">
        <v>24</v>
      </c>
      <c r="C91" s="38">
        <v>37.520000000000003</v>
      </c>
      <c r="D91" s="7">
        <v>9.1950000000000003</v>
      </c>
      <c r="E91" s="7">
        <f t="shared" si="3"/>
        <v>9195</v>
      </c>
      <c r="F91" s="7">
        <v>365</v>
      </c>
      <c r="G91" s="8">
        <f t="shared" si="0"/>
        <v>25.19178082191781</v>
      </c>
      <c r="H91" s="34">
        <f t="shared" si="4"/>
        <v>102.79452054794521</v>
      </c>
    </row>
    <row r="92" spans="1:8" ht="13" x14ac:dyDescent="0.15">
      <c r="A92" s="6">
        <v>45646</v>
      </c>
      <c r="B92" s="7">
        <v>25</v>
      </c>
      <c r="C92" s="38">
        <v>19.18</v>
      </c>
      <c r="D92" s="7">
        <v>6.8449999999999998</v>
      </c>
      <c r="E92" s="7">
        <f t="shared" si="3"/>
        <v>6845</v>
      </c>
      <c r="F92" s="7">
        <v>426</v>
      </c>
      <c r="G92" s="8">
        <f t="shared" si="0"/>
        <v>16.068075117370892</v>
      </c>
      <c r="H92" s="34">
        <f t="shared" si="4"/>
        <v>45.02347417840376</v>
      </c>
    </row>
    <row r="93" spans="1:8" ht="13" x14ac:dyDescent="0.15">
      <c r="A93" s="6">
        <v>45664</v>
      </c>
      <c r="B93" s="7">
        <v>12</v>
      </c>
      <c r="C93" s="38">
        <v>2.87</v>
      </c>
      <c r="D93" s="7">
        <v>10.135</v>
      </c>
      <c r="E93" s="5">
        <f t="shared" si="3"/>
        <v>10135</v>
      </c>
      <c r="F93" s="5">
        <v>370</v>
      </c>
      <c r="G93" s="8">
        <f t="shared" si="0"/>
        <v>27.391891891891891</v>
      </c>
      <c r="H93" s="34">
        <f t="shared" si="4"/>
        <v>7.756756756756757</v>
      </c>
    </row>
    <row r="94" spans="1:8" ht="13" x14ac:dyDescent="0.15">
      <c r="A94" s="6">
        <v>45665</v>
      </c>
      <c r="B94" s="7">
        <v>13</v>
      </c>
      <c r="C94" s="38">
        <v>11.3</v>
      </c>
      <c r="D94" s="7">
        <v>12.577</v>
      </c>
      <c r="E94" s="5">
        <f t="shared" si="3"/>
        <v>12577</v>
      </c>
      <c r="F94" s="5">
        <v>455</v>
      </c>
      <c r="G94" s="8">
        <f t="shared" si="0"/>
        <v>27.641758241758243</v>
      </c>
      <c r="H94" s="34">
        <f t="shared" si="4"/>
        <v>24.835164835164836</v>
      </c>
    </row>
    <row r="95" spans="1:8" ht="13" x14ac:dyDescent="0.15">
      <c r="A95" s="6">
        <v>45666</v>
      </c>
      <c r="B95" s="7">
        <v>14</v>
      </c>
      <c r="C95" s="38">
        <v>3.07</v>
      </c>
      <c r="D95" s="7">
        <v>9.0890000000000004</v>
      </c>
      <c r="E95" s="5">
        <f t="shared" si="3"/>
        <v>9089</v>
      </c>
      <c r="F95" s="5">
        <v>407</v>
      </c>
      <c r="G95" s="8">
        <f t="shared" si="0"/>
        <v>22.331695331695332</v>
      </c>
      <c r="H95" s="34">
        <f t="shared" si="4"/>
        <v>7.5429975429975427</v>
      </c>
    </row>
    <row r="96" spans="1:8" ht="13" x14ac:dyDescent="0.15">
      <c r="A96" s="6">
        <v>45667</v>
      </c>
      <c r="B96" s="7">
        <v>15</v>
      </c>
      <c r="C96" s="38">
        <v>16.18</v>
      </c>
      <c r="D96" s="7">
        <v>12.324</v>
      </c>
      <c r="E96" s="5">
        <f t="shared" si="3"/>
        <v>12324</v>
      </c>
      <c r="F96" s="5">
        <v>411</v>
      </c>
      <c r="G96" s="8">
        <f t="shared" si="0"/>
        <v>29.985401459854014</v>
      </c>
      <c r="H96" s="34">
        <f t="shared" si="4"/>
        <v>39.367396593673966</v>
      </c>
    </row>
    <row r="97" spans="1:8" ht="13" x14ac:dyDescent="0.15">
      <c r="A97" s="6">
        <v>45670</v>
      </c>
      <c r="B97" s="7">
        <v>16</v>
      </c>
      <c r="C97" s="38">
        <v>3.22</v>
      </c>
      <c r="D97" s="7">
        <v>10.882999999999999</v>
      </c>
      <c r="E97" s="5">
        <f t="shared" si="3"/>
        <v>10883</v>
      </c>
      <c r="F97" s="5">
        <v>347</v>
      </c>
      <c r="G97" s="8">
        <f t="shared" si="0"/>
        <v>31.363112391930837</v>
      </c>
      <c r="H97" s="34">
        <f t="shared" si="4"/>
        <v>9.2795389048991357</v>
      </c>
    </row>
    <row r="98" spans="1:8" ht="13" x14ac:dyDescent="0.15">
      <c r="A98" s="6">
        <v>45671</v>
      </c>
      <c r="B98" s="7">
        <v>17</v>
      </c>
      <c r="C98" s="38">
        <v>3.07</v>
      </c>
      <c r="D98" s="7">
        <v>4.9889999999999999</v>
      </c>
      <c r="E98" s="5">
        <f t="shared" si="3"/>
        <v>4989</v>
      </c>
      <c r="F98" s="5">
        <v>360</v>
      </c>
      <c r="G98" s="8">
        <f t="shared" si="0"/>
        <v>13.858333333333333</v>
      </c>
      <c r="H98" s="34">
        <f t="shared" si="4"/>
        <v>8.5277777777777768</v>
      </c>
    </row>
    <row r="99" spans="1:8" ht="13" x14ac:dyDescent="0.15">
      <c r="A99" s="6">
        <v>45672</v>
      </c>
      <c r="B99" s="7">
        <v>18</v>
      </c>
      <c r="C99" s="38">
        <v>5.37</v>
      </c>
      <c r="D99" s="7">
        <v>7.5119999999999996</v>
      </c>
      <c r="E99" s="5">
        <f t="shared" si="3"/>
        <v>7512</v>
      </c>
      <c r="F99" s="5">
        <v>372</v>
      </c>
      <c r="G99" s="8">
        <f t="shared" si="0"/>
        <v>20.193548387096776</v>
      </c>
      <c r="H99" s="34">
        <f t="shared" si="4"/>
        <v>14.435483870967744</v>
      </c>
    </row>
    <row r="100" spans="1:8" ht="13" x14ac:dyDescent="0.15">
      <c r="A100" s="6">
        <v>45673</v>
      </c>
      <c r="B100" s="7">
        <v>19</v>
      </c>
      <c r="C100" s="38">
        <v>3.57</v>
      </c>
      <c r="D100" s="7">
        <v>6.7610000000000001</v>
      </c>
      <c r="E100" s="5">
        <f t="shared" si="3"/>
        <v>6761</v>
      </c>
      <c r="F100" s="5">
        <v>391</v>
      </c>
      <c r="G100" s="8">
        <f t="shared" si="0"/>
        <v>17.291560102301791</v>
      </c>
      <c r="H100" s="34">
        <f t="shared" si="4"/>
        <v>9.1304347826086953</v>
      </c>
    </row>
    <row r="101" spans="1:8" ht="13" x14ac:dyDescent="0.15">
      <c r="A101" s="6">
        <v>45674</v>
      </c>
      <c r="B101" s="7">
        <v>20</v>
      </c>
      <c r="C101" s="38">
        <v>13.2</v>
      </c>
      <c r="D101" s="7">
        <v>8.5340000000000007</v>
      </c>
      <c r="E101" s="5">
        <f t="shared" si="3"/>
        <v>8534</v>
      </c>
      <c r="F101" s="5">
        <v>419</v>
      </c>
      <c r="G101" s="8">
        <f t="shared" si="0"/>
        <v>20.367541766109785</v>
      </c>
      <c r="H101" s="34">
        <f t="shared" si="4"/>
        <v>31.503579952267305</v>
      </c>
    </row>
    <row r="102" spans="1:8" ht="13" x14ac:dyDescent="0.15">
      <c r="A102" s="6">
        <v>45677</v>
      </c>
      <c r="B102" s="7">
        <v>21</v>
      </c>
      <c r="C102" s="38">
        <v>1.39</v>
      </c>
      <c r="D102" s="7">
        <v>7.6779999999999999</v>
      </c>
      <c r="E102" s="5">
        <f t="shared" si="3"/>
        <v>7678</v>
      </c>
      <c r="F102" s="5">
        <v>398</v>
      </c>
      <c r="G102" s="8">
        <f t="shared" si="0"/>
        <v>19.291457286432159</v>
      </c>
      <c r="H102" s="34">
        <f t="shared" si="4"/>
        <v>3.4924623115577886</v>
      </c>
    </row>
    <row r="103" spans="1:8" ht="13" x14ac:dyDescent="0.15">
      <c r="A103" s="6">
        <v>45678</v>
      </c>
      <c r="B103" s="7">
        <v>22</v>
      </c>
      <c r="C103" s="38">
        <v>9.36</v>
      </c>
      <c r="D103" s="7">
        <v>9.5790000000000006</v>
      </c>
      <c r="E103" s="5">
        <f t="shared" si="3"/>
        <v>9579</v>
      </c>
      <c r="F103" s="5">
        <v>433</v>
      </c>
      <c r="G103" s="8">
        <f t="shared" si="0"/>
        <v>22.122401847575059</v>
      </c>
      <c r="H103" s="34">
        <f t="shared" si="4"/>
        <v>21.616628175519629</v>
      </c>
    </row>
    <row r="104" spans="1:8" ht="13" x14ac:dyDescent="0.15">
      <c r="A104" s="6">
        <v>45679</v>
      </c>
      <c r="B104" s="7">
        <v>23</v>
      </c>
      <c r="C104" s="38">
        <v>14.77</v>
      </c>
      <c r="D104" s="7">
        <v>6.3</v>
      </c>
      <c r="E104" s="5">
        <f t="shared" si="3"/>
        <v>6300</v>
      </c>
      <c r="F104" s="5">
        <v>412</v>
      </c>
      <c r="G104" s="8">
        <f t="shared" si="0"/>
        <v>15.291262135922331</v>
      </c>
      <c r="H104" s="34">
        <f t="shared" si="4"/>
        <v>35.849514563106794</v>
      </c>
    </row>
    <row r="105" spans="1:8" ht="13" x14ac:dyDescent="0.15">
      <c r="A105" s="6">
        <v>45680</v>
      </c>
      <c r="B105" s="7">
        <v>24</v>
      </c>
      <c r="C105" s="38">
        <v>3.76</v>
      </c>
      <c r="D105" s="7">
        <v>4.2450000000000001</v>
      </c>
      <c r="E105" s="5">
        <f t="shared" si="3"/>
        <v>4245</v>
      </c>
      <c r="F105" s="5">
        <v>350</v>
      </c>
      <c r="G105" s="8">
        <f t="shared" si="0"/>
        <v>12.128571428571428</v>
      </c>
      <c r="H105" s="34">
        <f t="shared" si="4"/>
        <v>10.742857142857142</v>
      </c>
    </row>
    <row r="106" spans="1:8" ht="13" x14ac:dyDescent="0.15">
      <c r="A106" s="6">
        <v>45681</v>
      </c>
      <c r="B106" s="7">
        <v>25</v>
      </c>
      <c r="C106" s="38">
        <v>6.53</v>
      </c>
      <c r="D106" s="7">
        <v>10.172000000000001</v>
      </c>
      <c r="E106" s="5">
        <f t="shared" si="3"/>
        <v>10172</v>
      </c>
      <c r="F106" s="5">
        <v>467</v>
      </c>
      <c r="G106" s="8">
        <f t="shared" si="0"/>
        <v>21.781584582441113</v>
      </c>
      <c r="H106" s="34">
        <f t="shared" si="4"/>
        <v>13.982869379014989</v>
      </c>
    </row>
    <row r="107" spans="1:8" ht="13" x14ac:dyDescent="0.15">
      <c r="A107" s="6">
        <v>45684</v>
      </c>
      <c r="B107" s="7">
        <v>1</v>
      </c>
      <c r="C107" s="38">
        <v>2.38</v>
      </c>
      <c r="D107" s="7">
        <v>9.4329999999999998</v>
      </c>
      <c r="E107" s="5">
        <f t="shared" si="3"/>
        <v>9433</v>
      </c>
      <c r="F107" s="5">
        <v>351</v>
      </c>
      <c r="G107" s="8">
        <f t="shared" si="0"/>
        <v>26.874643874643876</v>
      </c>
      <c r="H107" s="34">
        <f t="shared" si="4"/>
        <v>6.7806267806267799</v>
      </c>
    </row>
    <row r="108" spans="1:8" ht="13" x14ac:dyDescent="0.15">
      <c r="A108" s="6">
        <v>45685</v>
      </c>
      <c r="B108" s="7">
        <v>2</v>
      </c>
      <c r="C108" s="38">
        <v>4.21</v>
      </c>
      <c r="D108" s="7">
        <v>6.6840000000000002</v>
      </c>
      <c r="E108" s="12">
        <f t="shared" si="3"/>
        <v>6684</v>
      </c>
      <c r="F108" s="5">
        <v>396</v>
      </c>
      <c r="G108" s="8">
        <f t="shared" si="0"/>
        <v>16.878787878787879</v>
      </c>
      <c r="H108" s="34">
        <f t="shared" si="4"/>
        <v>10.63131313131313</v>
      </c>
    </row>
    <row r="109" spans="1:8" ht="13" x14ac:dyDescent="0.15">
      <c r="A109" s="6">
        <v>45686</v>
      </c>
      <c r="B109" s="7">
        <v>3</v>
      </c>
      <c r="C109" s="38">
        <v>1.85</v>
      </c>
      <c r="D109" s="7">
        <v>9.9960000000000004</v>
      </c>
      <c r="E109" s="5">
        <f t="shared" si="3"/>
        <v>9996</v>
      </c>
      <c r="F109" s="5">
        <v>395</v>
      </c>
      <c r="G109" s="8">
        <f t="shared" si="0"/>
        <v>25.30632911392405</v>
      </c>
      <c r="H109" s="34">
        <f t="shared" si="4"/>
        <v>4.6835443037974684</v>
      </c>
    </row>
    <row r="110" spans="1:8" ht="13" x14ac:dyDescent="0.15">
      <c r="A110" s="6">
        <v>45687</v>
      </c>
      <c r="B110" s="7">
        <v>4</v>
      </c>
      <c r="C110" s="38">
        <v>10.73</v>
      </c>
      <c r="D110" s="7">
        <v>7.7590000000000003</v>
      </c>
      <c r="E110" s="5">
        <f t="shared" si="3"/>
        <v>7759</v>
      </c>
      <c r="F110" s="5">
        <v>397</v>
      </c>
      <c r="G110" s="8">
        <f t="shared" si="0"/>
        <v>19.544080604534006</v>
      </c>
      <c r="H110" s="34">
        <f t="shared" si="4"/>
        <v>27.027707808564234</v>
      </c>
    </row>
    <row r="111" spans="1:8" ht="13" x14ac:dyDescent="0.15">
      <c r="A111" s="6">
        <v>45688</v>
      </c>
      <c r="B111" s="7">
        <v>5</v>
      </c>
      <c r="C111" s="38">
        <v>7.12</v>
      </c>
      <c r="D111" s="7">
        <v>5.8159999999999998</v>
      </c>
      <c r="E111" s="5">
        <f t="shared" si="3"/>
        <v>5816</v>
      </c>
      <c r="F111" s="5">
        <v>468</v>
      </c>
      <c r="G111" s="8">
        <f t="shared" si="0"/>
        <v>12.427350427350428</v>
      </c>
      <c r="H111" s="34">
        <f t="shared" si="4"/>
        <v>15.213675213675215</v>
      </c>
    </row>
    <row r="112" spans="1:8" ht="13" x14ac:dyDescent="0.15">
      <c r="A112" s="6">
        <v>45691</v>
      </c>
      <c r="B112" s="7">
        <v>6</v>
      </c>
      <c r="C112" s="38">
        <v>3.31</v>
      </c>
      <c r="D112" s="7">
        <v>10.272</v>
      </c>
      <c r="E112" s="5">
        <f t="shared" si="3"/>
        <v>10272</v>
      </c>
      <c r="F112" s="5">
        <v>417</v>
      </c>
      <c r="G112" s="8">
        <f t="shared" si="0"/>
        <v>24.633093525179856</v>
      </c>
      <c r="H112" s="34">
        <f t="shared" si="4"/>
        <v>7.9376498800959228</v>
      </c>
    </row>
    <row r="113" spans="1:8" ht="13" x14ac:dyDescent="0.15">
      <c r="A113" s="6">
        <v>45692</v>
      </c>
      <c r="B113" s="7">
        <v>7</v>
      </c>
      <c r="C113" s="38">
        <v>1.64</v>
      </c>
      <c r="D113" s="7">
        <v>7.718</v>
      </c>
      <c r="E113" s="5">
        <f t="shared" si="3"/>
        <v>7718</v>
      </c>
      <c r="F113" s="5">
        <v>408</v>
      </c>
      <c r="G113" s="8">
        <f t="shared" si="0"/>
        <v>18.916666666666668</v>
      </c>
      <c r="H113" s="34">
        <f t="shared" si="4"/>
        <v>4.0196078431372548</v>
      </c>
    </row>
    <row r="114" spans="1:8" ht="13" x14ac:dyDescent="0.15">
      <c r="A114" s="6">
        <v>45693</v>
      </c>
      <c r="B114" s="7">
        <v>8</v>
      </c>
      <c r="C114" s="38">
        <v>2.12</v>
      </c>
      <c r="D114" s="7">
        <v>7.7370000000000001</v>
      </c>
      <c r="E114" s="5">
        <f t="shared" si="3"/>
        <v>7737</v>
      </c>
      <c r="F114" s="5">
        <v>366</v>
      </c>
      <c r="G114" s="8">
        <f t="shared" si="0"/>
        <v>21.139344262295083</v>
      </c>
      <c r="H114" s="34">
        <f t="shared" si="4"/>
        <v>5.7923497267759565</v>
      </c>
    </row>
    <row r="115" spans="1:8" ht="13" x14ac:dyDescent="0.15">
      <c r="A115" s="6">
        <v>45694</v>
      </c>
      <c r="B115" s="7">
        <v>9</v>
      </c>
      <c r="C115" s="38">
        <v>4.08</v>
      </c>
      <c r="D115" s="7">
        <v>8.093</v>
      </c>
      <c r="E115" s="5">
        <f t="shared" si="3"/>
        <v>8093</v>
      </c>
      <c r="F115" s="5">
        <v>430</v>
      </c>
      <c r="G115" s="8">
        <f t="shared" si="0"/>
        <v>18.82093023255814</v>
      </c>
      <c r="H115" s="34">
        <f t="shared" si="4"/>
        <v>9.4883720930232567</v>
      </c>
    </row>
    <row r="116" spans="1:8" ht="13" x14ac:dyDescent="0.15">
      <c r="A116" s="6">
        <v>45695</v>
      </c>
      <c r="B116" s="7">
        <v>10</v>
      </c>
      <c r="C116" s="38">
        <v>11.78</v>
      </c>
      <c r="D116" s="7">
        <v>9.5869999999999997</v>
      </c>
      <c r="E116" s="5">
        <f t="shared" si="3"/>
        <v>9587</v>
      </c>
      <c r="F116" s="5">
        <v>332</v>
      </c>
      <c r="G116" s="8">
        <f t="shared" si="0"/>
        <v>28.876506024096386</v>
      </c>
      <c r="H116" s="34">
        <f t="shared" si="4"/>
        <v>35.481927710843372</v>
      </c>
    </row>
    <row r="117" spans="1:8" ht="13" x14ac:dyDescent="0.15">
      <c r="A117" s="6">
        <v>45698</v>
      </c>
      <c r="B117" s="7">
        <v>11</v>
      </c>
      <c r="C117" s="38">
        <v>3.42</v>
      </c>
      <c r="D117" s="7">
        <v>12.661</v>
      </c>
      <c r="E117" s="5">
        <f t="shared" si="3"/>
        <v>12661</v>
      </c>
      <c r="F117" s="5">
        <v>303</v>
      </c>
      <c r="G117" s="8">
        <f t="shared" si="0"/>
        <v>41.785478547854787</v>
      </c>
      <c r="H117" s="34">
        <f t="shared" si="4"/>
        <v>11.287128712871286</v>
      </c>
    </row>
    <row r="118" spans="1:8" ht="13" x14ac:dyDescent="0.15">
      <c r="A118" s="6">
        <v>45699</v>
      </c>
      <c r="B118" s="7">
        <v>12</v>
      </c>
      <c r="C118" s="38">
        <v>3.33</v>
      </c>
      <c r="D118" s="7">
        <v>3.746</v>
      </c>
      <c r="E118" s="5">
        <f t="shared" si="3"/>
        <v>3746</v>
      </c>
      <c r="F118" s="5">
        <v>304</v>
      </c>
      <c r="G118" s="8">
        <f t="shared" si="0"/>
        <v>12.322368421052632</v>
      </c>
      <c r="H118" s="34">
        <f t="shared" si="4"/>
        <v>10.953947368421053</v>
      </c>
    </row>
    <row r="119" spans="1:8" ht="13" x14ac:dyDescent="0.15">
      <c r="A119" s="6">
        <v>45700</v>
      </c>
      <c r="B119" s="7">
        <v>13</v>
      </c>
      <c r="C119" s="38">
        <v>0.96</v>
      </c>
      <c r="D119" s="7">
        <v>7.1680000000000001</v>
      </c>
      <c r="E119" s="5">
        <f t="shared" si="3"/>
        <v>7168</v>
      </c>
      <c r="F119" s="5">
        <v>405</v>
      </c>
      <c r="G119" s="8">
        <f t="shared" si="0"/>
        <v>17.698765432098764</v>
      </c>
      <c r="H119" s="34">
        <f t="shared" si="4"/>
        <v>2.3703703703703702</v>
      </c>
    </row>
    <row r="120" spans="1:8" ht="13" x14ac:dyDescent="0.15">
      <c r="A120" s="6">
        <v>45701</v>
      </c>
      <c r="B120" s="7">
        <v>14</v>
      </c>
      <c r="C120" s="38">
        <v>8.1300000000000008</v>
      </c>
      <c r="D120" s="7">
        <v>6.407</v>
      </c>
      <c r="E120" s="5">
        <f t="shared" si="3"/>
        <v>6407</v>
      </c>
      <c r="F120" s="5">
        <v>367</v>
      </c>
      <c r="G120" s="8">
        <f t="shared" si="0"/>
        <v>17.457765667574932</v>
      </c>
      <c r="H120" s="34">
        <f t="shared" si="4"/>
        <v>22.152588555858312</v>
      </c>
    </row>
    <row r="121" spans="1:8" ht="13" x14ac:dyDescent="0.15">
      <c r="A121" s="6">
        <v>45702</v>
      </c>
      <c r="B121" s="7">
        <v>15</v>
      </c>
      <c r="C121" s="38">
        <v>13.5</v>
      </c>
      <c r="D121" s="7">
        <v>8.9390000000000001</v>
      </c>
      <c r="E121" s="5">
        <f t="shared" si="3"/>
        <v>8939</v>
      </c>
      <c r="F121" s="5">
        <v>390</v>
      </c>
      <c r="G121" s="8">
        <f t="shared" si="0"/>
        <v>22.920512820512819</v>
      </c>
      <c r="H121" s="34">
        <f t="shared" si="4"/>
        <v>34.61538461538462</v>
      </c>
    </row>
    <row r="122" spans="1:8" ht="13" x14ac:dyDescent="0.15">
      <c r="A122" s="6">
        <v>45705</v>
      </c>
      <c r="B122" s="7">
        <v>16</v>
      </c>
      <c r="C122" s="38">
        <v>3.11</v>
      </c>
      <c r="D122" s="7">
        <v>12.093999999999999</v>
      </c>
      <c r="E122" s="5">
        <f t="shared" si="3"/>
        <v>12094</v>
      </c>
      <c r="F122" s="5">
        <v>371</v>
      </c>
      <c r="G122" s="8">
        <f t="shared" si="0"/>
        <v>32.598382749326149</v>
      </c>
      <c r="H122" s="34">
        <f t="shared" si="4"/>
        <v>8.3827493261455519</v>
      </c>
    </row>
    <row r="123" spans="1:8" ht="13" x14ac:dyDescent="0.15">
      <c r="A123" s="6">
        <v>45706</v>
      </c>
      <c r="B123" s="7">
        <v>17</v>
      </c>
      <c r="C123" s="38">
        <v>6.03</v>
      </c>
      <c r="D123" s="7">
        <v>8.7899999999999991</v>
      </c>
      <c r="E123" s="5">
        <f t="shared" si="3"/>
        <v>8790</v>
      </c>
      <c r="F123" s="5">
        <v>397</v>
      </c>
      <c r="G123" s="8">
        <f t="shared" si="0"/>
        <v>22.141057934508815</v>
      </c>
      <c r="H123" s="34">
        <f t="shared" si="4"/>
        <v>15.188916876574309</v>
      </c>
    </row>
    <row r="124" spans="1:8" ht="13" x14ac:dyDescent="0.15">
      <c r="A124" s="6">
        <v>45707</v>
      </c>
      <c r="B124" s="7">
        <v>18</v>
      </c>
      <c r="C124" s="38">
        <v>6.03</v>
      </c>
      <c r="D124" s="7">
        <v>7.4969999999999999</v>
      </c>
      <c r="E124" s="5">
        <f t="shared" si="3"/>
        <v>7497</v>
      </c>
      <c r="F124" s="5">
        <v>378</v>
      </c>
      <c r="G124" s="8">
        <f t="shared" si="0"/>
        <v>19.833333333333332</v>
      </c>
      <c r="H124" s="34">
        <f t="shared" si="4"/>
        <v>15.952380952380954</v>
      </c>
    </row>
    <row r="125" spans="1:8" ht="13" x14ac:dyDescent="0.15">
      <c r="A125" s="6">
        <v>45708</v>
      </c>
      <c r="B125" s="7">
        <v>19</v>
      </c>
      <c r="C125" s="38">
        <v>12.98</v>
      </c>
      <c r="D125" s="7">
        <v>8.3190000000000008</v>
      </c>
      <c r="E125" s="5">
        <f t="shared" si="3"/>
        <v>8319</v>
      </c>
      <c r="F125" s="5">
        <v>390</v>
      </c>
      <c r="G125" s="8">
        <f t="shared" si="0"/>
        <v>21.330769230769231</v>
      </c>
      <c r="H125" s="34">
        <f t="shared" si="4"/>
        <v>33.282051282051285</v>
      </c>
    </row>
    <row r="126" spans="1:8" ht="13" x14ac:dyDescent="0.15">
      <c r="A126" s="6">
        <v>45709</v>
      </c>
      <c r="B126" s="7">
        <v>20</v>
      </c>
      <c r="C126" s="38">
        <v>11.44</v>
      </c>
      <c r="D126" s="7">
        <v>6.9320000000000004</v>
      </c>
      <c r="E126" s="5">
        <f t="shared" si="3"/>
        <v>6932</v>
      </c>
      <c r="F126" s="5">
        <v>431</v>
      </c>
      <c r="G126" s="8">
        <f t="shared" si="0"/>
        <v>16.083526682134572</v>
      </c>
      <c r="H126" s="34">
        <f t="shared" si="4"/>
        <v>26.542923433874709</v>
      </c>
    </row>
    <row r="127" spans="1:8" ht="13" x14ac:dyDescent="0.15">
      <c r="A127" s="6">
        <v>45719</v>
      </c>
      <c r="B127" s="7">
        <v>1</v>
      </c>
      <c r="C127" s="38">
        <v>2.0499999999999998</v>
      </c>
      <c r="D127" s="7">
        <v>6.6390000000000002</v>
      </c>
      <c r="E127" s="5">
        <f t="shared" si="3"/>
        <v>6639</v>
      </c>
      <c r="F127" s="5">
        <v>393</v>
      </c>
      <c r="G127" s="8">
        <f t="shared" si="0"/>
        <v>16.893129770992367</v>
      </c>
      <c r="H127" s="34">
        <f t="shared" si="4"/>
        <v>5.2162849872773531</v>
      </c>
    </row>
    <row r="128" spans="1:8" ht="13" x14ac:dyDescent="0.15">
      <c r="A128" s="6">
        <v>45720</v>
      </c>
      <c r="B128" s="7">
        <v>2</v>
      </c>
      <c r="C128" s="38">
        <v>8.57</v>
      </c>
      <c r="D128" s="7">
        <v>9.9770000000000003</v>
      </c>
      <c r="E128" s="5">
        <f t="shared" si="3"/>
        <v>9977</v>
      </c>
      <c r="F128" s="5">
        <v>418</v>
      </c>
      <c r="G128" s="8">
        <f t="shared" si="0"/>
        <v>23.868421052631579</v>
      </c>
      <c r="H128" s="34">
        <f t="shared" si="4"/>
        <v>20.502392344497608</v>
      </c>
    </row>
    <row r="129" spans="1:8" ht="13" x14ac:dyDescent="0.15">
      <c r="A129" s="6">
        <v>45721</v>
      </c>
      <c r="B129" s="7">
        <v>3</v>
      </c>
      <c r="C129" s="38">
        <v>4.17</v>
      </c>
      <c r="D129" s="7">
        <v>7.9770000000000003</v>
      </c>
      <c r="E129" s="5">
        <f t="shared" si="3"/>
        <v>7977</v>
      </c>
      <c r="F129" s="5">
        <v>366</v>
      </c>
      <c r="G129" s="8">
        <f t="shared" si="0"/>
        <v>21.795081967213115</v>
      </c>
      <c r="H129" s="34">
        <f t="shared" si="4"/>
        <v>11.39344262295082</v>
      </c>
    </row>
    <row r="130" spans="1:8" ht="13" x14ac:dyDescent="0.15">
      <c r="A130" s="6">
        <v>45722</v>
      </c>
      <c r="B130" s="7">
        <v>4</v>
      </c>
      <c r="C130" s="38">
        <v>4.2</v>
      </c>
      <c r="D130" s="7">
        <v>9.327</v>
      </c>
      <c r="E130" s="5">
        <f t="shared" si="3"/>
        <v>9327</v>
      </c>
      <c r="F130" s="5">
        <v>401</v>
      </c>
      <c r="G130" s="8">
        <f t="shared" si="0"/>
        <v>23.25935162094763</v>
      </c>
      <c r="H130" s="34">
        <f t="shared" si="4"/>
        <v>10.473815461346634</v>
      </c>
    </row>
    <row r="131" spans="1:8" ht="13" x14ac:dyDescent="0.15">
      <c r="A131" s="6">
        <v>45723</v>
      </c>
      <c r="B131" s="7">
        <v>5</v>
      </c>
      <c r="C131" s="38">
        <v>19.22</v>
      </c>
      <c r="D131" s="7">
        <v>6.72</v>
      </c>
      <c r="E131" s="5">
        <f t="shared" si="3"/>
        <v>6720</v>
      </c>
      <c r="F131" s="5">
        <v>357</v>
      </c>
      <c r="G131" s="8">
        <f t="shared" si="0"/>
        <v>18.823529411764707</v>
      </c>
      <c r="H131" s="34">
        <f t="shared" si="4"/>
        <v>53.837535014005603</v>
      </c>
    </row>
    <row r="132" spans="1:8" ht="13" x14ac:dyDescent="0.15">
      <c r="A132" s="6">
        <v>45726</v>
      </c>
      <c r="B132" s="7">
        <v>6</v>
      </c>
      <c r="C132" s="38">
        <v>4.32</v>
      </c>
      <c r="D132" s="7">
        <v>10.022</v>
      </c>
      <c r="E132" s="5">
        <f t="shared" si="3"/>
        <v>10022</v>
      </c>
      <c r="F132" s="5">
        <v>370</v>
      </c>
      <c r="G132" s="8">
        <f t="shared" si="0"/>
        <v>27.086486486486486</v>
      </c>
      <c r="H132" s="34">
        <f t="shared" si="4"/>
        <v>11.675675675675677</v>
      </c>
    </row>
    <row r="133" spans="1:8" ht="13" x14ac:dyDescent="0.15">
      <c r="A133" s="6">
        <v>45727</v>
      </c>
      <c r="B133" s="7">
        <v>7</v>
      </c>
      <c r="C133" s="38">
        <v>18.68</v>
      </c>
      <c r="D133" s="7">
        <v>6.3250000000000002</v>
      </c>
      <c r="E133" s="5">
        <f t="shared" si="3"/>
        <v>6325</v>
      </c>
      <c r="F133" s="5">
        <v>390</v>
      </c>
      <c r="G133" s="8">
        <f t="shared" si="0"/>
        <v>16.217948717948719</v>
      </c>
      <c r="H133" s="34">
        <f t="shared" si="4"/>
        <v>47.897435897435898</v>
      </c>
    </row>
    <row r="134" spans="1:8" ht="13" x14ac:dyDescent="0.15">
      <c r="A134" s="6">
        <v>45728</v>
      </c>
      <c r="B134" s="7">
        <v>8</v>
      </c>
      <c r="C134" s="38">
        <v>2.4900000000000002</v>
      </c>
      <c r="D134" s="7">
        <v>7.0259999999999998</v>
      </c>
      <c r="E134" s="5">
        <f t="shared" si="3"/>
        <v>7026</v>
      </c>
      <c r="F134" s="5">
        <v>388</v>
      </c>
      <c r="G134" s="8">
        <f t="shared" si="0"/>
        <v>18.108247422680414</v>
      </c>
      <c r="H134" s="34">
        <f t="shared" si="4"/>
        <v>6.4175257731958766</v>
      </c>
    </row>
    <row r="135" spans="1:8" ht="13" x14ac:dyDescent="0.15">
      <c r="A135" s="6">
        <v>45729</v>
      </c>
      <c r="B135" s="7">
        <v>9</v>
      </c>
      <c r="C135" s="38">
        <v>4.34</v>
      </c>
      <c r="D135" s="7">
        <v>8.1809999999999992</v>
      </c>
      <c r="E135" s="5">
        <f t="shared" si="3"/>
        <v>8180.9999999999991</v>
      </c>
      <c r="F135" s="5">
        <v>494</v>
      </c>
      <c r="G135" s="8">
        <f t="shared" si="0"/>
        <v>16.560728744939269</v>
      </c>
      <c r="H135" s="34">
        <f t="shared" si="4"/>
        <v>8.7854251012145745</v>
      </c>
    </row>
    <row r="136" spans="1:8" ht="13" x14ac:dyDescent="0.15">
      <c r="A136" s="6">
        <v>45730</v>
      </c>
      <c r="B136" s="7">
        <v>10</v>
      </c>
      <c r="C136" s="38">
        <v>5.24</v>
      </c>
      <c r="D136" s="7">
        <v>8.7899999999999991</v>
      </c>
      <c r="E136" s="5">
        <f t="shared" si="3"/>
        <v>8790</v>
      </c>
      <c r="F136" s="5">
        <v>348</v>
      </c>
      <c r="G136" s="8">
        <f t="shared" si="0"/>
        <v>25.258620689655171</v>
      </c>
      <c r="H136" s="34">
        <f t="shared" si="4"/>
        <v>15.057471264367816</v>
      </c>
    </row>
    <row r="137" spans="1:8" ht="13" x14ac:dyDescent="0.15">
      <c r="A137" s="13">
        <v>45733</v>
      </c>
      <c r="B137" s="14">
        <v>11</v>
      </c>
      <c r="C137" s="40">
        <v>2.41</v>
      </c>
      <c r="D137" s="14">
        <v>11.632999999999999</v>
      </c>
      <c r="E137" s="15">
        <v>11633</v>
      </c>
      <c r="F137" s="15">
        <v>340</v>
      </c>
      <c r="G137" s="16">
        <f>_xlfn.STDEV.S(G2:G136)</f>
        <v>8.2500346553769326</v>
      </c>
      <c r="H137" s="37">
        <f>AVERAGE(H2:H136)</f>
        <v>21.768362862738439</v>
      </c>
    </row>
    <row r="138" spans="1:8" ht="13" x14ac:dyDescent="0.15">
      <c r="A138" s="17">
        <v>45734</v>
      </c>
      <c r="B138" s="18">
        <v>12</v>
      </c>
      <c r="C138" s="41">
        <v>2.5499999999999998</v>
      </c>
      <c r="D138" s="18">
        <v>7.3760000000000003</v>
      </c>
      <c r="E138" s="19">
        <v>7376</v>
      </c>
      <c r="F138" s="19">
        <v>394</v>
      </c>
      <c r="G138" s="20">
        <f t="shared" ref="G138:G156" si="5">E138/F138</f>
        <v>18.720812182741117</v>
      </c>
      <c r="H138" s="37">
        <f t="shared" ref="H138:H156" si="6">C138/F138*1000</f>
        <v>6.4720812182741119</v>
      </c>
    </row>
    <row r="139" spans="1:8" ht="13" x14ac:dyDescent="0.15">
      <c r="A139" s="17">
        <v>45735</v>
      </c>
      <c r="B139" s="18">
        <v>13</v>
      </c>
      <c r="C139" s="41">
        <v>1.34</v>
      </c>
      <c r="D139" s="18">
        <v>9.2539999999999996</v>
      </c>
      <c r="E139" s="19">
        <v>9254</v>
      </c>
      <c r="F139" s="19">
        <v>439</v>
      </c>
      <c r="G139" s="20">
        <f t="shared" si="5"/>
        <v>21.079726651480637</v>
      </c>
      <c r="H139" s="37">
        <f t="shared" si="6"/>
        <v>3.0523917995444192</v>
      </c>
    </row>
    <row r="140" spans="1:8" ht="13" x14ac:dyDescent="0.15">
      <c r="A140" s="17">
        <v>45736</v>
      </c>
      <c r="B140" s="18">
        <v>14</v>
      </c>
      <c r="C140" s="41">
        <v>2.62</v>
      </c>
      <c r="D140" s="18">
        <v>4.9489999999999998</v>
      </c>
      <c r="E140" s="19">
        <v>4949</v>
      </c>
      <c r="F140" s="19">
        <v>407</v>
      </c>
      <c r="G140" s="20">
        <f t="shared" si="5"/>
        <v>12.15970515970516</v>
      </c>
      <c r="H140" s="37">
        <f t="shared" si="6"/>
        <v>6.437346437346438</v>
      </c>
    </row>
    <row r="141" spans="1:8" ht="13" x14ac:dyDescent="0.15">
      <c r="A141" s="17">
        <v>45737</v>
      </c>
      <c r="B141" s="18">
        <v>15</v>
      </c>
      <c r="C141" s="41">
        <v>2.98</v>
      </c>
      <c r="D141" s="18">
        <v>9.5150000000000006</v>
      </c>
      <c r="E141" s="19">
        <v>9515</v>
      </c>
      <c r="F141" s="19">
        <v>424</v>
      </c>
      <c r="G141" s="20">
        <f t="shared" si="5"/>
        <v>22.441037735849058</v>
      </c>
      <c r="H141" s="37">
        <f t="shared" si="6"/>
        <v>7.0283018867924527</v>
      </c>
    </row>
    <row r="142" spans="1:8" ht="13" x14ac:dyDescent="0.15">
      <c r="A142" s="17">
        <v>45740</v>
      </c>
      <c r="B142" s="18">
        <v>16</v>
      </c>
      <c r="C142" s="41">
        <v>0.51</v>
      </c>
      <c r="D142" s="18">
        <v>13.77</v>
      </c>
      <c r="E142" s="19">
        <v>13770</v>
      </c>
      <c r="F142" s="19">
        <v>361</v>
      </c>
      <c r="G142" s="20">
        <f t="shared" si="5"/>
        <v>38.144044321329638</v>
      </c>
      <c r="H142" s="37">
        <f t="shared" si="6"/>
        <v>1.4127423822714682</v>
      </c>
    </row>
    <row r="143" spans="1:8" ht="13" x14ac:dyDescent="0.15">
      <c r="A143" s="17">
        <v>45741</v>
      </c>
      <c r="B143" s="18">
        <v>17</v>
      </c>
      <c r="C143" s="41">
        <v>2.69</v>
      </c>
      <c r="D143" s="18">
        <v>4.875</v>
      </c>
      <c r="E143" s="19">
        <v>4875</v>
      </c>
      <c r="F143" s="19">
        <v>342</v>
      </c>
      <c r="G143" s="20">
        <f t="shared" si="5"/>
        <v>14.254385964912281</v>
      </c>
      <c r="H143" s="37">
        <f t="shared" si="6"/>
        <v>7.8654970760233915</v>
      </c>
    </row>
    <row r="144" spans="1:8" ht="13" x14ac:dyDescent="0.15">
      <c r="A144" s="17">
        <v>45742</v>
      </c>
      <c r="B144" s="18">
        <v>18</v>
      </c>
      <c r="C144" s="41">
        <v>2.67</v>
      </c>
      <c r="D144" s="18">
        <v>5.2080000000000002</v>
      </c>
      <c r="E144" s="19">
        <v>5208</v>
      </c>
      <c r="F144" s="19">
        <v>388</v>
      </c>
      <c r="G144" s="20">
        <f t="shared" si="5"/>
        <v>13.422680412371134</v>
      </c>
      <c r="H144" s="37">
        <f t="shared" si="6"/>
        <v>6.8814432989690717</v>
      </c>
    </row>
    <row r="145" spans="1:16" ht="13" x14ac:dyDescent="0.15">
      <c r="A145" s="17">
        <v>45743</v>
      </c>
      <c r="B145" s="18">
        <v>19</v>
      </c>
      <c r="C145" s="41">
        <v>2.77</v>
      </c>
      <c r="D145" s="18">
        <v>6.9589999999999996</v>
      </c>
      <c r="E145" s="19">
        <v>6959</v>
      </c>
      <c r="F145" s="19">
        <v>393</v>
      </c>
      <c r="G145" s="20">
        <f t="shared" si="5"/>
        <v>17.707379134860052</v>
      </c>
      <c r="H145" s="37">
        <f t="shared" si="6"/>
        <v>7.0483460559796445</v>
      </c>
    </row>
    <row r="146" spans="1:16" ht="13" x14ac:dyDescent="0.15">
      <c r="A146" s="17">
        <v>45744</v>
      </c>
      <c r="B146" s="18">
        <v>20</v>
      </c>
      <c r="C146" s="41">
        <v>7.19</v>
      </c>
      <c r="D146" s="18">
        <v>6.3869999999999996</v>
      </c>
      <c r="E146" s="19">
        <v>6387</v>
      </c>
      <c r="F146" s="19">
        <v>423</v>
      </c>
      <c r="G146" s="20">
        <f t="shared" si="5"/>
        <v>15.099290780141844</v>
      </c>
      <c r="H146" s="37">
        <f t="shared" si="6"/>
        <v>16.997635933806148</v>
      </c>
    </row>
    <row r="147" spans="1:16" ht="13" x14ac:dyDescent="0.15">
      <c r="A147" s="17">
        <v>45747</v>
      </c>
      <c r="B147" s="18">
        <v>21</v>
      </c>
      <c r="C147" s="41">
        <v>2.2400000000000002</v>
      </c>
      <c r="D147" s="18">
        <v>9.2550000000000008</v>
      </c>
      <c r="E147" s="19">
        <v>9255</v>
      </c>
      <c r="F147" s="19">
        <v>318</v>
      </c>
      <c r="G147" s="20">
        <f t="shared" si="5"/>
        <v>29.10377358490566</v>
      </c>
      <c r="H147" s="37">
        <f t="shared" si="6"/>
        <v>7.0440251572327046</v>
      </c>
    </row>
    <row r="148" spans="1:16" ht="13" x14ac:dyDescent="0.15">
      <c r="A148" s="17">
        <v>45748</v>
      </c>
      <c r="B148" s="18">
        <v>22</v>
      </c>
      <c r="C148" s="41">
        <v>3.81</v>
      </c>
      <c r="D148" s="18">
        <v>6.2409999999999997</v>
      </c>
      <c r="E148" s="19">
        <v>6241</v>
      </c>
      <c r="F148" s="19">
        <v>381</v>
      </c>
      <c r="G148" s="20">
        <f t="shared" si="5"/>
        <v>16.380577427821521</v>
      </c>
      <c r="H148" s="37">
        <f t="shared" si="6"/>
        <v>10</v>
      </c>
    </row>
    <row r="149" spans="1:16" ht="13" x14ac:dyDescent="0.15">
      <c r="A149" s="17">
        <v>45749</v>
      </c>
      <c r="B149" s="18">
        <v>23</v>
      </c>
      <c r="C149" s="41">
        <v>5.58</v>
      </c>
      <c r="D149" s="18">
        <v>4.6710000000000003</v>
      </c>
      <c r="E149" s="19">
        <v>4671</v>
      </c>
      <c r="F149" s="19">
        <v>315</v>
      </c>
      <c r="G149" s="20">
        <f t="shared" si="5"/>
        <v>14.828571428571429</v>
      </c>
      <c r="H149" s="37">
        <f t="shared" si="6"/>
        <v>17.714285714285715</v>
      </c>
    </row>
    <row r="150" spans="1:16" ht="13" x14ac:dyDescent="0.15">
      <c r="A150" s="17">
        <v>45750</v>
      </c>
      <c r="B150" s="18">
        <v>24</v>
      </c>
      <c r="C150" s="41">
        <v>2.09</v>
      </c>
      <c r="D150" s="18">
        <v>3.9710000000000001</v>
      </c>
      <c r="E150" s="19">
        <v>3971</v>
      </c>
      <c r="F150" s="19">
        <v>353</v>
      </c>
      <c r="G150" s="20">
        <f t="shared" si="5"/>
        <v>11.24929178470255</v>
      </c>
      <c r="H150" s="37">
        <f t="shared" si="6"/>
        <v>5.9206798866855523</v>
      </c>
    </row>
    <row r="151" spans="1:16" ht="13" x14ac:dyDescent="0.15">
      <c r="A151" s="17">
        <v>45751</v>
      </c>
      <c r="B151" s="18">
        <v>25</v>
      </c>
      <c r="C151" s="41">
        <v>4.6500000000000004</v>
      </c>
      <c r="D151" s="18">
        <v>6.9820000000000002</v>
      </c>
      <c r="E151" s="19">
        <v>6982</v>
      </c>
      <c r="F151" s="19">
        <v>450</v>
      </c>
      <c r="G151" s="20">
        <f t="shared" si="5"/>
        <v>15.515555555555556</v>
      </c>
      <c r="H151" s="37">
        <f t="shared" si="6"/>
        <v>10.333333333333334</v>
      </c>
    </row>
    <row r="152" spans="1:16" ht="13" x14ac:dyDescent="0.15">
      <c r="A152" s="17">
        <v>45754</v>
      </c>
      <c r="B152" s="18">
        <v>1</v>
      </c>
      <c r="C152" s="41">
        <v>4.1900000000000004</v>
      </c>
      <c r="D152" s="18">
        <v>6.51</v>
      </c>
      <c r="E152" s="19">
        <v>6751</v>
      </c>
      <c r="F152" s="19">
        <v>277</v>
      </c>
      <c r="G152" s="20">
        <f t="shared" si="5"/>
        <v>24.371841155234659</v>
      </c>
      <c r="H152" s="37">
        <f t="shared" si="6"/>
        <v>15.126353790613718</v>
      </c>
      <c r="L152" s="4"/>
    </row>
    <row r="153" spans="1:16" ht="13" x14ac:dyDescent="0.15">
      <c r="A153" s="17">
        <v>45755</v>
      </c>
      <c r="B153" s="18">
        <v>2</v>
      </c>
      <c r="C153" s="41">
        <v>2.04</v>
      </c>
      <c r="D153" s="18">
        <v>5.4260000000000002</v>
      </c>
      <c r="E153" s="19">
        <v>5426</v>
      </c>
      <c r="F153" s="19">
        <v>350</v>
      </c>
      <c r="G153" s="20">
        <f t="shared" si="5"/>
        <v>15.502857142857144</v>
      </c>
      <c r="H153" s="37">
        <f t="shared" si="6"/>
        <v>5.8285714285714283</v>
      </c>
      <c r="L153" s="4"/>
    </row>
    <row r="154" spans="1:16" ht="13" x14ac:dyDescent="0.15">
      <c r="A154" s="17">
        <v>45756</v>
      </c>
      <c r="B154" s="18">
        <v>3</v>
      </c>
      <c r="C154" s="41">
        <v>4.4800000000000004</v>
      </c>
      <c r="D154" s="18">
        <v>8.39</v>
      </c>
      <c r="E154" s="19">
        <v>8390</v>
      </c>
      <c r="F154" s="19">
        <v>326</v>
      </c>
      <c r="G154" s="20">
        <f t="shared" si="5"/>
        <v>25.736196319018404</v>
      </c>
      <c r="H154" s="37">
        <f t="shared" si="6"/>
        <v>13.742331288343559</v>
      </c>
    </row>
    <row r="155" spans="1:16" ht="13" x14ac:dyDescent="0.15">
      <c r="A155" s="17">
        <v>45757</v>
      </c>
      <c r="B155" s="18">
        <v>4</v>
      </c>
      <c r="C155" s="41">
        <v>1.79</v>
      </c>
      <c r="D155" s="18">
        <v>8.0830000000000002</v>
      </c>
      <c r="E155" s="19">
        <v>8083</v>
      </c>
      <c r="F155" s="19">
        <v>363</v>
      </c>
      <c r="G155" s="20">
        <f t="shared" si="5"/>
        <v>22.267217630853995</v>
      </c>
      <c r="H155" s="37">
        <f t="shared" si="6"/>
        <v>4.9311294765840223</v>
      </c>
      <c r="L155" s="4"/>
      <c r="N155" s="4"/>
      <c r="P155" s="4"/>
    </row>
    <row r="156" spans="1:16" ht="13" x14ac:dyDescent="0.15">
      <c r="A156" s="17">
        <v>45758</v>
      </c>
      <c r="B156" s="18">
        <v>5</v>
      </c>
      <c r="C156" s="41">
        <v>14.4</v>
      </c>
      <c r="D156" s="18">
        <v>3.0880000000000001</v>
      </c>
      <c r="E156" s="19">
        <v>3088</v>
      </c>
      <c r="F156" s="19">
        <v>371</v>
      </c>
      <c r="G156" s="20">
        <f t="shared" si="5"/>
        <v>8.3234501347708889</v>
      </c>
      <c r="H156" s="37">
        <f t="shared" si="6"/>
        <v>38.81401617250674</v>
      </c>
      <c r="J156" s="4"/>
      <c r="L156" s="21"/>
      <c r="N156" s="4"/>
      <c r="P156" s="4"/>
    </row>
    <row r="157" spans="1:16" ht="15" x14ac:dyDescent="0.2">
      <c r="A157" s="22"/>
      <c r="B157" s="23"/>
      <c r="C157" s="24"/>
      <c r="D157" s="24"/>
      <c r="E157" s="25"/>
      <c r="F157" s="23"/>
      <c r="G157" s="26"/>
      <c r="H157" s="4"/>
      <c r="J157" s="4"/>
      <c r="L157" s="4"/>
      <c r="N157" s="4"/>
      <c r="P157" s="4"/>
    </row>
    <row r="158" spans="1:16" ht="15" x14ac:dyDescent="0.2">
      <c r="A158" s="22"/>
      <c r="B158" s="23"/>
      <c r="C158" s="24"/>
      <c r="D158" s="24"/>
      <c r="E158" s="23"/>
      <c r="F158" s="23"/>
      <c r="G158" s="26"/>
      <c r="H158" s="4"/>
      <c r="P158" s="27"/>
    </row>
    <row r="159" spans="1:16" ht="15" x14ac:dyDescent="0.2">
      <c r="A159" s="28"/>
      <c r="B159" s="25"/>
      <c r="C159" s="24"/>
      <c r="D159" s="24"/>
      <c r="E159" s="23"/>
      <c r="F159" s="25"/>
      <c r="G159" s="29"/>
      <c r="H159" s="4"/>
    </row>
    <row r="160" spans="1:16" ht="15" x14ac:dyDescent="0.2">
      <c r="A160" s="28"/>
      <c r="B160" s="25"/>
      <c r="C160" s="24"/>
      <c r="D160" s="24"/>
      <c r="E160" s="23"/>
      <c r="F160" s="25"/>
      <c r="G160" s="29"/>
      <c r="H160" s="4"/>
      <c r="J160" s="4"/>
    </row>
    <row r="161" spans="1:10" ht="15" x14ac:dyDescent="0.2">
      <c r="A161" s="28"/>
      <c r="B161" s="25"/>
      <c r="C161" s="24"/>
      <c r="D161" s="24"/>
      <c r="E161" s="23"/>
      <c r="F161" s="25"/>
      <c r="G161" s="29"/>
      <c r="H161" s="4"/>
      <c r="J161" s="4"/>
    </row>
    <row r="162" spans="1:10" ht="15" x14ac:dyDescent="0.2">
      <c r="A162" s="28"/>
      <c r="B162" s="25"/>
      <c r="C162" s="24"/>
      <c r="D162" s="24"/>
      <c r="E162" s="23"/>
      <c r="F162" s="25"/>
      <c r="G162" s="29"/>
      <c r="H162" s="4"/>
      <c r="J162" s="4"/>
    </row>
    <row r="163" spans="1:10" ht="15" x14ac:dyDescent="0.2">
      <c r="A163" s="28"/>
      <c r="B163" s="25"/>
      <c r="C163" s="24"/>
      <c r="D163" s="24"/>
      <c r="E163" s="23"/>
      <c r="F163" s="25"/>
      <c r="G163" s="29"/>
      <c r="H163" s="4"/>
    </row>
    <row r="164" spans="1:10" ht="15" x14ac:dyDescent="0.2">
      <c r="A164" s="28"/>
      <c r="B164" s="25"/>
      <c r="C164" s="24"/>
      <c r="D164" s="24"/>
      <c r="E164" s="23"/>
      <c r="F164" s="25"/>
      <c r="G164" s="29"/>
      <c r="H164" s="4"/>
    </row>
    <row r="165" spans="1:10" ht="15" x14ac:dyDescent="0.2">
      <c r="A165" s="30"/>
      <c r="B165" s="25"/>
      <c r="C165" s="24"/>
      <c r="D165" s="24"/>
      <c r="E165" s="23"/>
      <c r="F165" s="25"/>
      <c r="G165" s="29"/>
      <c r="H165" s="4"/>
    </row>
    <row r="166" spans="1:10" ht="15" x14ac:dyDescent="0.2">
      <c r="A166" s="30"/>
      <c r="B166" s="25"/>
      <c r="C166" s="24"/>
      <c r="D166" s="24"/>
      <c r="E166" s="23"/>
      <c r="F166" s="25"/>
      <c r="G166" s="29"/>
      <c r="H166" s="4"/>
    </row>
    <row r="167" spans="1:10" ht="15" x14ac:dyDescent="0.2">
      <c r="A167" s="30"/>
      <c r="B167" s="25"/>
      <c r="C167" s="24"/>
      <c r="D167" s="24"/>
      <c r="E167" s="23"/>
      <c r="F167" s="25"/>
      <c r="G167" s="29"/>
      <c r="H167" s="4"/>
    </row>
    <row r="168" spans="1:10" ht="15" x14ac:dyDescent="0.2">
      <c r="A168" s="30"/>
      <c r="B168" s="25"/>
      <c r="C168" s="24"/>
      <c r="D168" s="24"/>
      <c r="E168" s="23"/>
      <c r="F168" s="25"/>
      <c r="G168" s="29"/>
      <c r="H168" s="4"/>
    </row>
    <row r="169" spans="1:10" ht="15" x14ac:dyDescent="0.2">
      <c r="A169" s="30"/>
      <c r="B169" s="25"/>
      <c r="C169" s="24"/>
      <c r="D169" s="24"/>
      <c r="E169" s="23"/>
      <c r="F169" s="25"/>
      <c r="G169" s="29"/>
      <c r="H169" s="4"/>
    </row>
    <row r="170" spans="1:10" ht="15" x14ac:dyDescent="0.2">
      <c r="A170" s="30"/>
      <c r="B170" s="25"/>
      <c r="C170" s="24"/>
      <c r="D170" s="24"/>
      <c r="E170" s="23"/>
      <c r="F170" s="25"/>
      <c r="G170" s="29"/>
      <c r="H170" s="4"/>
    </row>
    <row r="171" spans="1:10" ht="15" x14ac:dyDescent="0.2">
      <c r="A171" s="30"/>
      <c r="B171" s="25"/>
      <c r="C171" s="24"/>
      <c r="D171" s="24"/>
      <c r="E171" s="23"/>
      <c r="F171" s="25"/>
      <c r="G171" s="29"/>
      <c r="H171" s="4"/>
    </row>
    <row r="172" spans="1:10" ht="15" x14ac:dyDescent="0.2">
      <c r="A172" s="30"/>
      <c r="B172" s="25"/>
      <c r="C172" s="24"/>
      <c r="D172" s="24"/>
      <c r="E172" s="23"/>
      <c r="F172" s="25"/>
      <c r="G172" s="29"/>
      <c r="H172" s="4"/>
    </row>
    <row r="173" spans="1:10" ht="15" x14ac:dyDescent="0.2">
      <c r="A173" s="30"/>
      <c r="B173" s="25"/>
      <c r="C173" s="24"/>
      <c r="D173" s="24"/>
      <c r="E173" s="23"/>
      <c r="F173" s="25"/>
      <c r="G173" s="29"/>
      <c r="H173" s="4"/>
    </row>
    <row r="174" spans="1:10" ht="15" x14ac:dyDescent="0.2">
      <c r="A174" s="30"/>
      <c r="B174" s="25"/>
      <c r="C174" s="24"/>
      <c r="D174" s="24"/>
      <c r="E174" s="23"/>
      <c r="F174" s="25"/>
      <c r="G174" s="29"/>
      <c r="H174" s="4"/>
    </row>
    <row r="175" spans="1:10" ht="15" x14ac:dyDescent="0.2">
      <c r="A175" s="30"/>
      <c r="B175" s="25"/>
      <c r="C175" s="24"/>
      <c r="D175" s="24"/>
      <c r="E175" s="23"/>
      <c r="F175" s="25"/>
      <c r="G175" s="29"/>
      <c r="H175" s="4"/>
    </row>
    <row r="176" spans="1:10" ht="15" x14ac:dyDescent="0.2">
      <c r="A176" s="30"/>
      <c r="B176" s="25"/>
      <c r="C176" s="24"/>
      <c r="D176" s="24"/>
      <c r="E176" s="23"/>
      <c r="F176" s="25"/>
      <c r="G176" s="29"/>
      <c r="H176" s="4"/>
    </row>
    <row r="177" spans="1:8" ht="15" x14ac:dyDescent="0.2">
      <c r="A177" s="30"/>
      <c r="B177" s="25"/>
      <c r="C177" s="24"/>
      <c r="D177" s="24"/>
      <c r="E177" s="23"/>
      <c r="F177" s="25"/>
      <c r="G177" s="29"/>
      <c r="H177" s="4"/>
    </row>
    <row r="178" spans="1:8" ht="15" x14ac:dyDescent="0.2">
      <c r="A178" s="30"/>
      <c r="B178" s="25"/>
      <c r="C178" s="24"/>
      <c r="D178" s="24"/>
      <c r="E178" s="23"/>
      <c r="F178" s="25"/>
      <c r="G178" s="29"/>
      <c r="H178" s="4"/>
    </row>
    <row r="179" spans="1:8" ht="15" x14ac:dyDescent="0.2">
      <c r="A179" s="30"/>
      <c r="B179" s="25"/>
      <c r="C179" s="24"/>
      <c r="D179" s="24"/>
      <c r="E179" s="23"/>
      <c r="F179" s="25"/>
      <c r="G179" s="29"/>
      <c r="H179" s="4"/>
    </row>
    <row r="180" spans="1:8" ht="15" x14ac:dyDescent="0.2">
      <c r="A180" s="30"/>
      <c r="B180" s="25"/>
      <c r="C180" s="24"/>
      <c r="D180" s="24"/>
      <c r="E180" s="23"/>
      <c r="F180" s="25"/>
      <c r="G180" s="29"/>
      <c r="H180" s="4"/>
    </row>
    <row r="181" spans="1:8" ht="15" x14ac:dyDescent="0.2">
      <c r="A181" s="30"/>
      <c r="B181" s="25"/>
      <c r="C181" s="24"/>
      <c r="D181" s="24"/>
      <c r="E181" s="24"/>
      <c r="F181" s="25"/>
      <c r="G181" s="29"/>
      <c r="H181" s="4"/>
    </row>
    <row r="182" spans="1:8" ht="15" x14ac:dyDescent="0.2">
      <c r="A182" s="30"/>
      <c r="B182" s="25"/>
      <c r="C182" s="24"/>
      <c r="D182" s="24"/>
      <c r="E182" s="24"/>
      <c r="F182" s="25"/>
      <c r="G182" s="29"/>
      <c r="H182" s="4"/>
    </row>
    <row r="183" spans="1:8" ht="15" x14ac:dyDescent="0.2">
      <c r="A183" s="30"/>
      <c r="B183" s="25"/>
      <c r="C183" s="24"/>
      <c r="D183" s="24"/>
      <c r="E183" s="24"/>
      <c r="F183" s="25"/>
      <c r="G183" s="29"/>
      <c r="H183" s="4"/>
    </row>
    <row r="184" spans="1:8" ht="15" x14ac:dyDescent="0.2">
      <c r="A184" s="30"/>
      <c r="B184" s="25"/>
      <c r="C184" s="24"/>
      <c r="D184" s="24"/>
      <c r="E184" s="24"/>
      <c r="F184" s="25"/>
      <c r="G184" s="29"/>
      <c r="H184" s="4"/>
    </row>
    <row r="185" spans="1:8" ht="15" x14ac:dyDescent="0.2">
      <c r="A185" s="30"/>
      <c r="B185" s="25"/>
      <c r="C185" s="24"/>
      <c r="D185" s="24"/>
      <c r="E185" s="24"/>
      <c r="F185" s="25"/>
      <c r="G185" s="29"/>
      <c r="H185" s="4"/>
    </row>
    <row r="186" spans="1:8" ht="15" x14ac:dyDescent="0.2">
      <c r="A186" s="30"/>
      <c r="B186" s="25"/>
      <c r="C186" s="24"/>
      <c r="D186" s="24"/>
      <c r="E186" s="24"/>
      <c r="F186" s="25"/>
      <c r="G186" s="29"/>
      <c r="H186" s="4"/>
    </row>
    <row r="187" spans="1:8" ht="13" x14ac:dyDescent="0.15">
      <c r="A187" s="31"/>
      <c r="B187" s="32"/>
      <c r="C187" s="32"/>
      <c r="D187" s="32"/>
      <c r="E187" s="32"/>
      <c r="F187" s="32"/>
      <c r="G187" s="33"/>
    </row>
    <row r="188" spans="1:8" ht="13" x14ac:dyDescent="0.15">
      <c r="G188" s="34"/>
    </row>
    <row r="189" spans="1:8" ht="13" x14ac:dyDescent="0.15">
      <c r="G189" s="34"/>
    </row>
    <row r="190" spans="1:8" ht="13" x14ac:dyDescent="0.15">
      <c r="G190" s="34"/>
    </row>
    <row r="191" spans="1:8" ht="13" x14ac:dyDescent="0.15">
      <c r="G191" s="34"/>
    </row>
    <row r="192" spans="1:8" ht="13" x14ac:dyDescent="0.15">
      <c r="G192" s="34"/>
    </row>
    <row r="193" spans="7:7" ht="13" x14ac:dyDescent="0.15">
      <c r="G193" s="34"/>
    </row>
    <row r="194" spans="7:7" ht="13" x14ac:dyDescent="0.15">
      <c r="G194" s="34"/>
    </row>
    <row r="195" spans="7:7" ht="13" x14ac:dyDescent="0.15">
      <c r="G195" s="34"/>
    </row>
    <row r="196" spans="7:7" ht="13" x14ac:dyDescent="0.15">
      <c r="G196" s="34"/>
    </row>
    <row r="197" spans="7:7" ht="13" x14ac:dyDescent="0.15">
      <c r="G197" s="34"/>
    </row>
    <row r="198" spans="7:7" ht="13" x14ac:dyDescent="0.15">
      <c r="G198" s="34"/>
    </row>
    <row r="199" spans="7:7" ht="13" x14ac:dyDescent="0.15">
      <c r="G199" s="34"/>
    </row>
    <row r="200" spans="7:7" ht="13" x14ac:dyDescent="0.15">
      <c r="G200" s="34"/>
    </row>
    <row r="201" spans="7:7" ht="13" x14ac:dyDescent="0.15">
      <c r="G201" s="34"/>
    </row>
    <row r="202" spans="7:7" ht="13" x14ac:dyDescent="0.15">
      <c r="G202" s="34"/>
    </row>
    <row r="203" spans="7:7" ht="13" x14ac:dyDescent="0.15">
      <c r="G203" s="34"/>
    </row>
    <row r="204" spans="7:7" ht="13" x14ac:dyDescent="0.15">
      <c r="G204" s="34"/>
    </row>
    <row r="205" spans="7:7" ht="13" x14ac:dyDescent="0.15">
      <c r="G205" s="34"/>
    </row>
    <row r="206" spans="7:7" ht="13" x14ac:dyDescent="0.15">
      <c r="G206" s="34"/>
    </row>
    <row r="207" spans="7:7" ht="13" x14ac:dyDescent="0.15">
      <c r="G207" s="34"/>
    </row>
    <row r="208" spans="7:7" ht="13" x14ac:dyDescent="0.15">
      <c r="G208" s="34"/>
    </row>
    <row r="209" spans="7:7" ht="13" x14ac:dyDescent="0.15">
      <c r="G209" s="34"/>
    </row>
    <row r="210" spans="7:7" ht="13" x14ac:dyDescent="0.15">
      <c r="G210" s="34"/>
    </row>
    <row r="211" spans="7:7" ht="13" x14ac:dyDescent="0.15">
      <c r="G211" s="34"/>
    </row>
    <row r="212" spans="7:7" ht="13" x14ac:dyDescent="0.15">
      <c r="G212" s="34"/>
    </row>
    <row r="213" spans="7:7" ht="13" x14ac:dyDescent="0.15">
      <c r="G213" s="34"/>
    </row>
    <row r="214" spans="7:7" ht="13" x14ac:dyDescent="0.15">
      <c r="G214" s="34"/>
    </row>
    <row r="215" spans="7:7" ht="13" x14ac:dyDescent="0.15">
      <c r="G215" s="34"/>
    </row>
    <row r="216" spans="7:7" ht="13" x14ac:dyDescent="0.15">
      <c r="G216" s="34"/>
    </row>
    <row r="217" spans="7:7" ht="13" x14ac:dyDescent="0.15">
      <c r="G217" s="34"/>
    </row>
    <row r="218" spans="7:7" ht="13" x14ac:dyDescent="0.15">
      <c r="G218" s="34"/>
    </row>
    <row r="219" spans="7:7" ht="13" x14ac:dyDescent="0.15">
      <c r="G219" s="34"/>
    </row>
    <row r="220" spans="7:7" ht="13" x14ac:dyDescent="0.15">
      <c r="G220" s="34"/>
    </row>
    <row r="221" spans="7:7" ht="13" x14ac:dyDescent="0.15">
      <c r="G221" s="34"/>
    </row>
    <row r="222" spans="7:7" ht="13" x14ac:dyDescent="0.15">
      <c r="G222" s="34"/>
    </row>
    <row r="223" spans="7:7" ht="13" x14ac:dyDescent="0.15">
      <c r="G223" s="34"/>
    </row>
    <row r="224" spans="7:7" ht="13" x14ac:dyDescent="0.15">
      <c r="G224" s="34"/>
    </row>
    <row r="225" spans="7:7" ht="13" x14ac:dyDescent="0.15">
      <c r="G225" s="34"/>
    </row>
    <row r="226" spans="7:7" ht="13" x14ac:dyDescent="0.15">
      <c r="G226" s="34"/>
    </row>
    <row r="227" spans="7:7" ht="13" x14ac:dyDescent="0.15">
      <c r="G227" s="34"/>
    </row>
    <row r="228" spans="7:7" ht="13" x14ac:dyDescent="0.15">
      <c r="G228" s="34"/>
    </row>
    <row r="229" spans="7:7" ht="13" x14ac:dyDescent="0.15">
      <c r="G229" s="34"/>
    </row>
    <row r="230" spans="7:7" ht="13" x14ac:dyDescent="0.15">
      <c r="G230" s="34"/>
    </row>
    <row r="231" spans="7:7" ht="13" x14ac:dyDescent="0.15">
      <c r="G231" s="34"/>
    </row>
    <row r="232" spans="7:7" ht="13" x14ac:dyDescent="0.15">
      <c r="G232" s="34"/>
    </row>
    <row r="233" spans="7:7" ht="13" x14ac:dyDescent="0.15">
      <c r="G233" s="34"/>
    </row>
    <row r="234" spans="7:7" ht="13" x14ac:dyDescent="0.15">
      <c r="G234" s="34"/>
    </row>
    <row r="235" spans="7:7" ht="13" x14ac:dyDescent="0.15">
      <c r="G235" s="34"/>
    </row>
    <row r="236" spans="7:7" ht="13" x14ac:dyDescent="0.15">
      <c r="G236" s="34"/>
    </row>
    <row r="237" spans="7:7" ht="13" x14ac:dyDescent="0.15">
      <c r="G237" s="34"/>
    </row>
    <row r="238" spans="7:7" ht="13" x14ac:dyDescent="0.15">
      <c r="G238" s="34"/>
    </row>
    <row r="239" spans="7:7" ht="13" x14ac:dyDescent="0.15">
      <c r="G239" s="34"/>
    </row>
    <row r="240" spans="7:7" ht="13" x14ac:dyDescent="0.15">
      <c r="G240" s="34"/>
    </row>
    <row r="241" spans="7:7" ht="13" x14ac:dyDescent="0.15">
      <c r="G241" s="34"/>
    </row>
    <row r="242" spans="7:7" ht="13" x14ac:dyDescent="0.15">
      <c r="G242" s="34"/>
    </row>
    <row r="243" spans="7:7" ht="13" x14ac:dyDescent="0.15">
      <c r="G243" s="34"/>
    </row>
    <row r="244" spans="7:7" ht="13" x14ac:dyDescent="0.15">
      <c r="G244" s="34"/>
    </row>
    <row r="245" spans="7:7" ht="13" x14ac:dyDescent="0.15">
      <c r="G245" s="34"/>
    </row>
    <row r="246" spans="7:7" ht="13" x14ac:dyDescent="0.15">
      <c r="G246" s="34"/>
    </row>
    <row r="247" spans="7:7" ht="13" x14ac:dyDescent="0.15">
      <c r="G247" s="34"/>
    </row>
    <row r="248" spans="7:7" ht="13" x14ac:dyDescent="0.15">
      <c r="G248" s="34"/>
    </row>
    <row r="249" spans="7:7" ht="13" x14ac:dyDescent="0.15">
      <c r="G249" s="34"/>
    </row>
    <row r="250" spans="7:7" ht="13" x14ac:dyDescent="0.15">
      <c r="G250" s="34"/>
    </row>
    <row r="251" spans="7:7" ht="13" x14ac:dyDescent="0.15">
      <c r="G251" s="34"/>
    </row>
    <row r="252" spans="7:7" ht="13" x14ac:dyDescent="0.15">
      <c r="G252" s="34"/>
    </row>
    <row r="253" spans="7:7" ht="13" x14ac:dyDescent="0.15">
      <c r="G253" s="34"/>
    </row>
    <row r="254" spans="7:7" ht="13" x14ac:dyDescent="0.15">
      <c r="G254" s="34"/>
    </row>
    <row r="255" spans="7:7" ht="13" x14ac:dyDescent="0.15">
      <c r="G255" s="34"/>
    </row>
    <row r="256" spans="7:7" ht="13" x14ac:dyDescent="0.15">
      <c r="G256" s="34"/>
    </row>
    <row r="257" spans="7:7" ht="13" x14ac:dyDescent="0.15">
      <c r="G257" s="34"/>
    </row>
    <row r="258" spans="7:7" ht="13" x14ac:dyDescent="0.15">
      <c r="G258" s="34"/>
    </row>
    <row r="259" spans="7:7" ht="13" x14ac:dyDescent="0.15">
      <c r="G259" s="34"/>
    </row>
    <row r="260" spans="7:7" ht="13" x14ac:dyDescent="0.15">
      <c r="G260" s="34"/>
    </row>
    <row r="261" spans="7:7" ht="13" x14ac:dyDescent="0.15">
      <c r="G261" s="34"/>
    </row>
    <row r="262" spans="7:7" ht="13" x14ac:dyDescent="0.15">
      <c r="G262" s="34"/>
    </row>
    <row r="263" spans="7:7" ht="13" x14ac:dyDescent="0.15">
      <c r="G263" s="34"/>
    </row>
    <row r="264" spans="7:7" ht="13" x14ac:dyDescent="0.15">
      <c r="G264" s="34"/>
    </row>
    <row r="265" spans="7:7" ht="13" x14ac:dyDescent="0.15">
      <c r="G265" s="34"/>
    </row>
    <row r="266" spans="7:7" ht="13" x14ac:dyDescent="0.15">
      <c r="G266" s="34"/>
    </row>
    <row r="267" spans="7:7" ht="13" x14ac:dyDescent="0.15">
      <c r="G267" s="34"/>
    </row>
    <row r="268" spans="7:7" ht="13" x14ac:dyDescent="0.15">
      <c r="G268" s="34"/>
    </row>
    <row r="269" spans="7:7" ht="13" x14ac:dyDescent="0.15">
      <c r="G269" s="34"/>
    </row>
    <row r="270" spans="7:7" ht="13" x14ac:dyDescent="0.15">
      <c r="G270" s="34"/>
    </row>
    <row r="271" spans="7:7" ht="13" x14ac:dyDescent="0.15">
      <c r="G271" s="34"/>
    </row>
    <row r="272" spans="7:7" ht="13" x14ac:dyDescent="0.15">
      <c r="G272" s="34"/>
    </row>
    <row r="273" spans="7:7" ht="13" x14ac:dyDescent="0.15">
      <c r="G273" s="34"/>
    </row>
    <row r="274" spans="7:7" ht="13" x14ac:dyDescent="0.15">
      <c r="G274" s="34"/>
    </row>
    <row r="275" spans="7:7" ht="13" x14ac:dyDescent="0.15">
      <c r="G275" s="34"/>
    </row>
    <row r="276" spans="7:7" ht="13" x14ac:dyDescent="0.15">
      <c r="G276" s="34"/>
    </row>
    <row r="277" spans="7:7" ht="13" x14ac:dyDescent="0.15">
      <c r="G277" s="34"/>
    </row>
    <row r="278" spans="7:7" ht="13" x14ac:dyDescent="0.15">
      <c r="G278" s="34"/>
    </row>
    <row r="279" spans="7:7" ht="13" x14ac:dyDescent="0.15">
      <c r="G279" s="34"/>
    </row>
    <row r="280" spans="7:7" ht="13" x14ac:dyDescent="0.15">
      <c r="G280" s="34"/>
    </row>
    <row r="281" spans="7:7" ht="13" x14ac:dyDescent="0.15">
      <c r="G281" s="34"/>
    </row>
    <row r="282" spans="7:7" ht="13" x14ac:dyDescent="0.15">
      <c r="G282" s="34"/>
    </row>
    <row r="283" spans="7:7" ht="13" x14ac:dyDescent="0.15">
      <c r="G283" s="34"/>
    </row>
    <row r="284" spans="7:7" ht="13" x14ac:dyDescent="0.15">
      <c r="G284" s="34"/>
    </row>
    <row r="285" spans="7:7" ht="13" x14ac:dyDescent="0.15">
      <c r="G285" s="34"/>
    </row>
    <row r="286" spans="7:7" ht="13" x14ac:dyDescent="0.15">
      <c r="G286" s="34"/>
    </row>
    <row r="287" spans="7:7" ht="13" x14ac:dyDescent="0.15">
      <c r="G287" s="34"/>
    </row>
    <row r="288" spans="7:7" ht="13" x14ac:dyDescent="0.15">
      <c r="G288" s="34"/>
    </row>
    <row r="289" spans="7:7" ht="13" x14ac:dyDescent="0.15">
      <c r="G289" s="34"/>
    </row>
    <row r="290" spans="7:7" ht="13" x14ac:dyDescent="0.15">
      <c r="G290" s="34"/>
    </row>
    <row r="291" spans="7:7" ht="13" x14ac:dyDescent="0.15">
      <c r="G291" s="34"/>
    </row>
    <row r="292" spans="7:7" ht="13" x14ac:dyDescent="0.15">
      <c r="G292" s="34"/>
    </row>
    <row r="293" spans="7:7" ht="13" x14ac:dyDescent="0.15">
      <c r="G293" s="34"/>
    </row>
    <row r="294" spans="7:7" ht="13" x14ac:dyDescent="0.15">
      <c r="G294" s="34"/>
    </row>
    <row r="295" spans="7:7" ht="13" x14ac:dyDescent="0.15">
      <c r="G295" s="34"/>
    </row>
    <row r="296" spans="7:7" ht="13" x14ac:dyDescent="0.15">
      <c r="G296" s="34"/>
    </row>
    <row r="297" spans="7:7" ht="13" x14ac:dyDescent="0.15">
      <c r="G297" s="34"/>
    </row>
    <row r="298" spans="7:7" ht="13" x14ac:dyDescent="0.15">
      <c r="G298" s="34"/>
    </row>
    <row r="299" spans="7:7" ht="13" x14ac:dyDescent="0.15">
      <c r="G299" s="34"/>
    </row>
    <row r="300" spans="7:7" ht="13" x14ac:dyDescent="0.15">
      <c r="G300" s="34"/>
    </row>
    <row r="301" spans="7:7" ht="13" x14ac:dyDescent="0.15">
      <c r="G301" s="34"/>
    </row>
    <row r="302" spans="7:7" ht="13" x14ac:dyDescent="0.15">
      <c r="G302" s="34"/>
    </row>
    <row r="303" spans="7:7" ht="13" x14ac:dyDescent="0.15">
      <c r="G303" s="34"/>
    </row>
    <row r="304" spans="7:7" ht="13" x14ac:dyDescent="0.15">
      <c r="G304" s="34"/>
    </row>
    <row r="305" spans="7:7" ht="13" x14ac:dyDescent="0.15">
      <c r="G305" s="34"/>
    </row>
    <row r="306" spans="7:7" ht="13" x14ac:dyDescent="0.15">
      <c r="G306" s="34"/>
    </row>
    <row r="307" spans="7:7" ht="13" x14ac:dyDescent="0.15">
      <c r="G307" s="34"/>
    </row>
    <row r="308" spans="7:7" ht="13" x14ac:dyDescent="0.15">
      <c r="G308" s="34"/>
    </row>
    <row r="309" spans="7:7" ht="13" x14ac:dyDescent="0.15">
      <c r="G309" s="34"/>
    </row>
    <row r="310" spans="7:7" ht="13" x14ac:dyDescent="0.15">
      <c r="G310" s="34"/>
    </row>
    <row r="311" spans="7:7" ht="13" x14ac:dyDescent="0.15">
      <c r="G311" s="34"/>
    </row>
    <row r="312" spans="7:7" ht="13" x14ac:dyDescent="0.15">
      <c r="G312" s="34"/>
    </row>
    <row r="313" spans="7:7" ht="13" x14ac:dyDescent="0.15">
      <c r="G313" s="34"/>
    </row>
    <row r="314" spans="7:7" ht="13" x14ac:dyDescent="0.15">
      <c r="G314" s="34"/>
    </row>
    <row r="315" spans="7:7" ht="13" x14ac:dyDescent="0.15">
      <c r="G315" s="34"/>
    </row>
    <row r="316" spans="7:7" ht="13" x14ac:dyDescent="0.15">
      <c r="G316" s="34"/>
    </row>
    <row r="317" spans="7:7" ht="13" x14ac:dyDescent="0.15">
      <c r="G317" s="34"/>
    </row>
    <row r="318" spans="7:7" ht="13" x14ac:dyDescent="0.15">
      <c r="G318" s="34"/>
    </row>
    <row r="319" spans="7:7" ht="13" x14ac:dyDescent="0.15">
      <c r="G319" s="34"/>
    </row>
    <row r="320" spans="7:7" ht="13" x14ac:dyDescent="0.15">
      <c r="G320" s="34"/>
    </row>
    <row r="321" spans="7:7" ht="13" x14ac:dyDescent="0.15">
      <c r="G321" s="34"/>
    </row>
    <row r="322" spans="7:7" ht="13" x14ac:dyDescent="0.15">
      <c r="G322" s="34"/>
    </row>
    <row r="323" spans="7:7" ht="13" x14ac:dyDescent="0.15">
      <c r="G323" s="34"/>
    </row>
    <row r="324" spans="7:7" ht="13" x14ac:dyDescent="0.15">
      <c r="G324" s="34"/>
    </row>
    <row r="325" spans="7:7" ht="13" x14ac:dyDescent="0.15">
      <c r="G325" s="34"/>
    </row>
    <row r="326" spans="7:7" ht="13" x14ac:dyDescent="0.15">
      <c r="G326" s="34"/>
    </row>
    <row r="327" spans="7:7" ht="13" x14ac:dyDescent="0.15">
      <c r="G327" s="34"/>
    </row>
    <row r="328" spans="7:7" ht="13" x14ac:dyDescent="0.15">
      <c r="G328" s="34"/>
    </row>
    <row r="329" spans="7:7" ht="13" x14ac:dyDescent="0.15">
      <c r="G329" s="34"/>
    </row>
    <row r="330" spans="7:7" ht="13" x14ac:dyDescent="0.15">
      <c r="G330" s="34"/>
    </row>
    <row r="331" spans="7:7" ht="13" x14ac:dyDescent="0.15">
      <c r="G331" s="34"/>
    </row>
    <row r="332" spans="7:7" ht="13" x14ac:dyDescent="0.15">
      <c r="G332" s="34"/>
    </row>
    <row r="333" spans="7:7" ht="13" x14ac:dyDescent="0.15">
      <c r="G333" s="34"/>
    </row>
    <row r="334" spans="7:7" ht="13" x14ac:dyDescent="0.15">
      <c r="G334" s="34"/>
    </row>
    <row r="335" spans="7:7" ht="13" x14ac:dyDescent="0.15">
      <c r="G335" s="34"/>
    </row>
    <row r="336" spans="7:7" ht="13" x14ac:dyDescent="0.15">
      <c r="G336" s="34"/>
    </row>
    <row r="337" spans="7:7" ht="13" x14ac:dyDescent="0.15">
      <c r="G337" s="34"/>
    </row>
    <row r="338" spans="7:7" ht="13" x14ac:dyDescent="0.15">
      <c r="G338" s="34"/>
    </row>
    <row r="339" spans="7:7" ht="13" x14ac:dyDescent="0.15">
      <c r="G339" s="34"/>
    </row>
    <row r="340" spans="7:7" ht="13" x14ac:dyDescent="0.15">
      <c r="G340" s="34"/>
    </row>
    <row r="341" spans="7:7" ht="13" x14ac:dyDescent="0.15">
      <c r="G341" s="34"/>
    </row>
    <row r="342" spans="7:7" ht="13" x14ac:dyDescent="0.15">
      <c r="G342" s="34"/>
    </row>
    <row r="343" spans="7:7" ht="13" x14ac:dyDescent="0.15">
      <c r="G343" s="34"/>
    </row>
    <row r="344" spans="7:7" ht="13" x14ac:dyDescent="0.15">
      <c r="G344" s="34"/>
    </row>
    <row r="345" spans="7:7" ht="13" x14ac:dyDescent="0.15">
      <c r="G345" s="34"/>
    </row>
    <row r="346" spans="7:7" ht="13" x14ac:dyDescent="0.15">
      <c r="G346" s="34"/>
    </row>
    <row r="347" spans="7:7" ht="13" x14ac:dyDescent="0.15">
      <c r="G347" s="34"/>
    </row>
    <row r="348" spans="7:7" ht="13" x14ac:dyDescent="0.15">
      <c r="G348" s="34"/>
    </row>
    <row r="349" spans="7:7" ht="13" x14ac:dyDescent="0.15">
      <c r="G349" s="34"/>
    </row>
    <row r="350" spans="7:7" ht="13" x14ac:dyDescent="0.15">
      <c r="G350" s="34"/>
    </row>
    <row r="351" spans="7:7" ht="13" x14ac:dyDescent="0.15">
      <c r="G351" s="34"/>
    </row>
    <row r="352" spans="7:7" ht="13" x14ac:dyDescent="0.15">
      <c r="G352" s="34"/>
    </row>
    <row r="353" spans="7:7" ht="13" x14ac:dyDescent="0.15">
      <c r="G353" s="34"/>
    </row>
    <row r="354" spans="7:7" ht="13" x14ac:dyDescent="0.15">
      <c r="G354" s="34"/>
    </row>
    <row r="355" spans="7:7" ht="13" x14ac:dyDescent="0.15">
      <c r="G355" s="34"/>
    </row>
    <row r="356" spans="7:7" ht="13" x14ac:dyDescent="0.15">
      <c r="G356" s="34"/>
    </row>
    <row r="357" spans="7:7" ht="13" x14ac:dyDescent="0.15">
      <c r="G357" s="34"/>
    </row>
    <row r="358" spans="7:7" ht="13" x14ac:dyDescent="0.15">
      <c r="G358" s="34"/>
    </row>
    <row r="359" spans="7:7" ht="13" x14ac:dyDescent="0.15">
      <c r="G359" s="34"/>
    </row>
    <row r="360" spans="7:7" ht="13" x14ac:dyDescent="0.15">
      <c r="G360" s="34"/>
    </row>
    <row r="361" spans="7:7" ht="13" x14ac:dyDescent="0.15">
      <c r="G361" s="34"/>
    </row>
    <row r="362" spans="7:7" ht="13" x14ac:dyDescent="0.15">
      <c r="G362" s="34"/>
    </row>
    <row r="363" spans="7:7" ht="13" x14ac:dyDescent="0.15">
      <c r="G363" s="34"/>
    </row>
    <row r="364" spans="7:7" ht="13" x14ac:dyDescent="0.15">
      <c r="G364" s="34"/>
    </row>
    <row r="365" spans="7:7" ht="13" x14ac:dyDescent="0.15">
      <c r="G365" s="34"/>
    </row>
    <row r="366" spans="7:7" ht="13" x14ac:dyDescent="0.15">
      <c r="G366" s="34"/>
    </row>
    <row r="367" spans="7:7" ht="13" x14ac:dyDescent="0.15">
      <c r="G367" s="34"/>
    </row>
    <row r="368" spans="7:7" ht="13" x14ac:dyDescent="0.15">
      <c r="G368" s="34"/>
    </row>
    <row r="369" spans="7:7" ht="13" x14ac:dyDescent="0.15">
      <c r="G369" s="34"/>
    </row>
    <row r="370" spans="7:7" ht="13" x14ac:dyDescent="0.15">
      <c r="G370" s="34"/>
    </row>
    <row r="371" spans="7:7" ht="13" x14ac:dyDescent="0.15">
      <c r="G371" s="34"/>
    </row>
    <row r="372" spans="7:7" ht="13" x14ac:dyDescent="0.15">
      <c r="G372" s="34"/>
    </row>
    <row r="373" spans="7:7" ht="13" x14ac:dyDescent="0.15">
      <c r="G373" s="34"/>
    </row>
    <row r="374" spans="7:7" ht="13" x14ac:dyDescent="0.15">
      <c r="G374" s="34"/>
    </row>
    <row r="375" spans="7:7" ht="13" x14ac:dyDescent="0.15">
      <c r="G375" s="34"/>
    </row>
    <row r="376" spans="7:7" ht="13" x14ac:dyDescent="0.15">
      <c r="G376" s="34"/>
    </row>
    <row r="377" spans="7:7" ht="13" x14ac:dyDescent="0.15">
      <c r="G377" s="34"/>
    </row>
    <row r="378" spans="7:7" ht="13" x14ac:dyDescent="0.15">
      <c r="G378" s="34"/>
    </row>
    <row r="379" spans="7:7" ht="13" x14ac:dyDescent="0.15">
      <c r="G379" s="34"/>
    </row>
    <row r="380" spans="7:7" ht="13" x14ac:dyDescent="0.15">
      <c r="G380" s="34"/>
    </row>
    <row r="381" spans="7:7" ht="13" x14ac:dyDescent="0.15">
      <c r="G381" s="34"/>
    </row>
    <row r="382" spans="7:7" ht="13" x14ac:dyDescent="0.15">
      <c r="G382" s="34"/>
    </row>
    <row r="383" spans="7:7" ht="13" x14ac:dyDescent="0.15">
      <c r="G383" s="34"/>
    </row>
    <row r="384" spans="7:7" ht="13" x14ac:dyDescent="0.15">
      <c r="G384" s="34"/>
    </row>
    <row r="385" spans="7:7" ht="13" x14ac:dyDescent="0.15">
      <c r="G385" s="34"/>
    </row>
    <row r="386" spans="7:7" ht="13" x14ac:dyDescent="0.15">
      <c r="G386" s="34"/>
    </row>
    <row r="387" spans="7:7" ht="13" x14ac:dyDescent="0.15">
      <c r="G387" s="34"/>
    </row>
    <row r="388" spans="7:7" ht="13" x14ac:dyDescent="0.15">
      <c r="G388" s="34"/>
    </row>
    <row r="389" spans="7:7" ht="13" x14ac:dyDescent="0.15">
      <c r="G389" s="34"/>
    </row>
    <row r="390" spans="7:7" ht="13" x14ac:dyDescent="0.15">
      <c r="G390" s="34"/>
    </row>
    <row r="391" spans="7:7" ht="13" x14ac:dyDescent="0.15">
      <c r="G391" s="34"/>
    </row>
    <row r="392" spans="7:7" ht="13" x14ac:dyDescent="0.15">
      <c r="G392" s="34"/>
    </row>
    <row r="393" spans="7:7" ht="13" x14ac:dyDescent="0.15">
      <c r="G393" s="34"/>
    </row>
    <row r="394" spans="7:7" ht="13" x14ac:dyDescent="0.15">
      <c r="G394" s="34"/>
    </row>
    <row r="395" spans="7:7" ht="13" x14ac:dyDescent="0.15">
      <c r="G395" s="34"/>
    </row>
    <row r="396" spans="7:7" ht="13" x14ac:dyDescent="0.15">
      <c r="G396" s="34"/>
    </row>
    <row r="397" spans="7:7" ht="13" x14ac:dyDescent="0.15">
      <c r="G397" s="34"/>
    </row>
    <row r="398" spans="7:7" ht="13" x14ac:dyDescent="0.15">
      <c r="G398" s="34"/>
    </row>
    <row r="399" spans="7:7" ht="13" x14ac:dyDescent="0.15">
      <c r="G399" s="34"/>
    </row>
    <row r="400" spans="7:7" ht="13" x14ac:dyDescent="0.15">
      <c r="G400" s="34"/>
    </row>
    <row r="401" spans="7:7" ht="13" x14ac:dyDescent="0.15">
      <c r="G401" s="34"/>
    </row>
    <row r="402" spans="7:7" ht="13" x14ac:dyDescent="0.15">
      <c r="G402" s="34"/>
    </row>
    <row r="403" spans="7:7" ht="13" x14ac:dyDescent="0.15">
      <c r="G403" s="34"/>
    </row>
    <row r="404" spans="7:7" ht="13" x14ac:dyDescent="0.15">
      <c r="G404" s="34"/>
    </row>
    <row r="405" spans="7:7" ht="13" x14ac:dyDescent="0.15">
      <c r="G405" s="34"/>
    </row>
    <row r="406" spans="7:7" ht="13" x14ac:dyDescent="0.15">
      <c r="G406" s="34"/>
    </row>
    <row r="407" spans="7:7" ht="13" x14ac:dyDescent="0.15">
      <c r="G407" s="34"/>
    </row>
    <row r="408" spans="7:7" ht="13" x14ac:dyDescent="0.15">
      <c r="G408" s="34"/>
    </row>
    <row r="409" spans="7:7" ht="13" x14ac:dyDescent="0.15">
      <c r="G409" s="34"/>
    </row>
    <row r="410" spans="7:7" ht="13" x14ac:dyDescent="0.15">
      <c r="G410" s="34"/>
    </row>
    <row r="411" spans="7:7" ht="13" x14ac:dyDescent="0.15">
      <c r="G411" s="34"/>
    </row>
    <row r="412" spans="7:7" ht="13" x14ac:dyDescent="0.15">
      <c r="G412" s="34"/>
    </row>
    <row r="413" spans="7:7" ht="13" x14ac:dyDescent="0.15">
      <c r="G413" s="34"/>
    </row>
    <row r="414" spans="7:7" ht="13" x14ac:dyDescent="0.15">
      <c r="G414" s="34"/>
    </row>
    <row r="415" spans="7:7" ht="13" x14ac:dyDescent="0.15">
      <c r="G415" s="34"/>
    </row>
    <row r="416" spans="7:7" ht="13" x14ac:dyDescent="0.15">
      <c r="G416" s="34"/>
    </row>
    <row r="417" spans="7:7" ht="13" x14ac:dyDescent="0.15">
      <c r="G417" s="34"/>
    </row>
    <row r="418" spans="7:7" ht="13" x14ac:dyDescent="0.15">
      <c r="G418" s="34"/>
    </row>
    <row r="419" spans="7:7" ht="13" x14ac:dyDescent="0.15">
      <c r="G419" s="34"/>
    </row>
    <row r="420" spans="7:7" ht="13" x14ac:dyDescent="0.15">
      <c r="G420" s="34"/>
    </row>
    <row r="421" spans="7:7" ht="13" x14ac:dyDescent="0.15">
      <c r="G421" s="34"/>
    </row>
    <row r="422" spans="7:7" ht="13" x14ac:dyDescent="0.15">
      <c r="G422" s="34"/>
    </row>
    <row r="423" spans="7:7" ht="13" x14ac:dyDescent="0.15">
      <c r="G423" s="34"/>
    </row>
    <row r="424" spans="7:7" ht="13" x14ac:dyDescent="0.15">
      <c r="G424" s="34"/>
    </row>
    <row r="425" spans="7:7" ht="13" x14ac:dyDescent="0.15">
      <c r="G425" s="34"/>
    </row>
    <row r="426" spans="7:7" ht="13" x14ac:dyDescent="0.15">
      <c r="G426" s="34"/>
    </row>
    <row r="427" spans="7:7" ht="13" x14ac:dyDescent="0.15">
      <c r="G427" s="34"/>
    </row>
    <row r="428" spans="7:7" ht="13" x14ac:dyDescent="0.15">
      <c r="G428" s="34"/>
    </row>
    <row r="429" spans="7:7" ht="13" x14ac:dyDescent="0.15">
      <c r="G429" s="34"/>
    </row>
    <row r="430" spans="7:7" ht="13" x14ac:dyDescent="0.15">
      <c r="G430" s="34"/>
    </row>
    <row r="431" spans="7:7" ht="13" x14ac:dyDescent="0.15">
      <c r="G431" s="34"/>
    </row>
    <row r="432" spans="7:7" ht="13" x14ac:dyDescent="0.15">
      <c r="G432" s="34"/>
    </row>
    <row r="433" spans="7:7" ht="13" x14ac:dyDescent="0.15">
      <c r="G433" s="34"/>
    </row>
    <row r="434" spans="7:7" ht="13" x14ac:dyDescent="0.15">
      <c r="G434" s="34"/>
    </row>
    <row r="435" spans="7:7" ht="13" x14ac:dyDescent="0.15">
      <c r="G435" s="34"/>
    </row>
    <row r="436" spans="7:7" ht="13" x14ac:dyDescent="0.15">
      <c r="G436" s="34"/>
    </row>
    <row r="437" spans="7:7" ht="13" x14ac:dyDescent="0.15">
      <c r="G437" s="34"/>
    </row>
    <row r="438" spans="7:7" ht="13" x14ac:dyDescent="0.15">
      <c r="G438" s="34"/>
    </row>
    <row r="439" spans="7:7" ht="13" x14ac:dyDescent="0.15">
      <c r="G439" s="34"/>
    </row>
    <row r="440" spans="7:7" ht="13" x14ac:dyDescent="0.15">
      <c r="G440" s="34"/>
    </row>
    <row r="441" spans="7:7" ht="13" x14ac:dyDescent="0.15">
      <c r="G441" s="34"/>
    </row>
    <row r="442" spans="7:7" ht="13" x14ac:dyDescent="0.15">
      <c r="G442" s="34"/>
    </row>
    <row r="443" spans="7:7" ht="13" x14ac:dyDescent="0.15">
      <c r="G443" s="34"/>
    </row>
    <row r="444" spans="7:7" ht="13" x14ac:dyDescent="0.15">
      <c r="G444" s="34"/>
    </row>
    <row r="445" spans="7:7" ht="13" x14ac:dyDescent="0.15">
      <c r="G445" s="34"/>
    </row>
    <row r="446" spans="7:7" ht="13" x14ac:dyDescent="0.15">
      <c r="G446" s="34"/>
    </row>
    <row r="447" spans="7:7" ht="13" x14ac:dyDescent="0.15">
      <c r="G447" s="34"/>
    </row>
    <row r="448" spans="7:7" ht="13" x14ac:dyDescent="0.15">
      <c r="G448" s="34"/>
    </row>
    <row r="449" spans="7:7" ht="13" x14ac:dyDescent="0.15">
      <c r="G449" s="34"/>
    </row>
    <row r="450" spans="7:7" ht="13" x14ac:dyDescent="0.15">
      <c r="G450" s="34"/>
    </row>
    <row r="451" spans="7:7" ht="13" x14ac:dyDescent="0.15">
      <c r="G451" s="34"/>
    </row>
    <row r="452" spans="7:7" ht="13" x14ac:dyDescent="0.15">
      <c r="G452" s="34"/>
    </row>
    <row r="453" spans="7:7" ht="13" x14ac:dyDescent="0.15">
      <c r="G453" s="34"/>
    </row>
    <row r="454" spans="7:7" ht="13" x14ac:dyDescent="0.15">
      <c r="G454" s="34"/>
    </row>
    <row r="455" spans="7:7" ht="13" x14ac:dyDescent="0.15">
      <c r="G455" s="34"/>
    </row>
    <row r="456" spans="7:7" ht="13" x14ac:dyDescent="0.15">
      <c r="G456" s="34"/>
    </row>
    <row r="457" spans="7:7" ht="13" x14ac:dyDescent="0.15">
      <c r="G457" s="34"/>
    </row>
    <row r="458" spans="7:7" ht="13" x14ac:dyDescent="0.15">
      <c r="G458" s="34"/>
    </row>
    <row r="459" spans="7:7" ht="13" x14ac:dyDescent="0.15">
      <c r="G459" s="34"/>
    </row>
    <row r="460" spans="7:7" ht="13" x14ac:dyDescent="0.15">
      <c r="G460" s="34"/>
    </row>
    <row r="461" spans="7:7" ht="13" x14ac:dyDescent="0.15">
      <c r="G461" s="34"/>
    </row>
    <row r="462" spans="7:7" ht="13" x14ac:dyDescent="0.15">
      <c r="G462" s="34"/>
    </row>
    <row r="463" spans="7:7" ht="13" x14ac:dyDescent="0.15">
      <c r="G463" s="34"/>
    </row>
    <row r="464" spans="7:7" ht="13" x14ac:dyDescent="0.15">
      <c r="G464" s="34"/>
    </row>
    <row r="465" spans="7:7" ht="13" x14ac:dyDescent="0.15">
      <c r="G465" s="34"/>
    </row>
    <row r="466" spans="7:7" ht="13" x14ac:dyDescent="0.15">
      <c r="G466" s="34"/>
    </row>
    <row r="467" spans="7:7" ht="13" x14ac:dyDescent="0.15">
      <c r="G467" s="34"/>
    </row>
    <row r="468" spans="7:7" ht="13" x14ac:dyDescent="0.15">
      <c r="G468" s="34"/>
    </row>
    <row r="469" spans="7:7" ht="13" x14ac:dyDescent="0.15">
      <c r="G469" s="34"/>
    </row>
    <row r="470" spans="7:7" ht="13" x14ac:dyDescent="0.15">
      <c r="G470" s="34"/>
    </row>
    <row r="471" spans="7:7" ht="13" x14ac:dyDescent="0.15">
      <c r="G471" s="34"/>
    </row>
    <row r="472" spans="7:7" ht="13" x14ac:dyDescent="0.15">
      <c r="G472" s="34"/>
    </row>
    <row r="473" spans="7:7" ht="13" x14ac:dyDescent="0.15">
      <c r="G473" s="34"/>
    </row>
    <row r="474" spans="7:7" ht="13" x14ac:dyDescent="0.15">
      <c r="G474" s="34"/>
    </row>
    <row r="475" spans="7:7" ht="13" x14ac:dyDescent="0.15">
      <c r="G475" s="34"/>
    </row>
    <row r="476" spans="7:7" ht="13" x14ac:dyDescent="0.15">
      <c r="G476" s="34"/>
    </row>
    <row r="477" spans="7:7" ht="13" x14ac:dyDescent="0.15">
      <c r="G477" s="34"/>
    </row>
    <row r="478" spans="7:7" ht="13" x14ac:dyDescent="0.15">
      <c r="G478" s="34"/>
    </row>
    <row r="479" spans="7:7" ht="13" x14ac:dyDescent="0.15">
      <c r="G479" s="34"/>
    </row>
    <row r="480" spans="7:7" ht="13" x14ac:dyDescent="0.15">
      <c r="G480" s="34"/>
    </row>
    <row r="481" spans="7:7" ht="13" x14ac:dyDescent="0.15">
      <c r="G481" s="34"/>
    </row>
    <row r="482" spans="7:7" ht="13" x14ac:dyDescent="0.15">
      <c r="G482" s="34"/>
    </row>
    <row r="483" spans="7:7" ht="13" x14ac:dyDescent="0.15">
      <c r="G483" s="34"/>
    </row>
    <row r="484" spans="7:7" ht="13" x14ac:dyDescent="0.15">
      <c r="G484" s="34"/>
    </row>
    <row r="485" spans="7:7" ht="13" x14ac:dyDescent="0.15">
      <c r="G485" s="34"/>
    </row>
    <row r="486" spans="7:7" ht="13" x14ac:dyDescent="0.15">
      <c r="G486" s="34"/>
    </row>
    <row r="487" spans="7:7" ht="13" x14ac:dyDescent="0.15">
      <c r="G487" s="34"/>
    </row>
    <row r="488" spans="7:7" ht="13" x14ac:dyDescent="0.15">
      <c r="G488" s="34"/>
    </row>
    <row r="489" spans="7:7" ht="13" x14ac:dyDescent="0.15">
      <c r="G489" s="34"/>
    </row>
    <row r="490" spans="7:7" ht="13" x14ac:dyDescent="0.15">
      <c r="G490" s="34"/>
    </row>
    <row r="491" spans="7:7" ht="13" x14ac:dyDescent="0.15">
      <c r="G491" s="34"/>
    </row>
    <row r="492" spans="7:7" ht="13" x14ac:dyDescent="0.15">
      <c r="G492" s="34"/>
    </row>
    <row r="493" spans="7:7" ht="13" x14ac:dyDescent="0.15">
      <c r="G493" s="34"/>
    </row>
    <row r="494" spans="7:7" ht="13" x14ac:dyDescent="0.15">
      <c r="G494" s="34"/>
    </row>
    <row r="495" spans="7:7" ht="13" x14ac:dyDescent="0.15">
      <c r="G495" s="34"/>
    </row>
    <row r="496" spans="7:7" ht="13" x14ac:dyDescent="0.15">
      <c r="G496" s="34"/>
    </row>
    <row r="497" spans="7:7" ht="13" x14ac:dyDescent="0.15">
      <c r="G497" s="34"/>
    </row>
    <row r="498" spans="7:7" ht="13" x14ac:dyDescent="0.15">
      <c r="G498" s="34"/>
    </row>
    <row r="499" spans="7:7" ht="13" x14ac:dyDescent="0.15">
      <c r="G499" s="34"/>
    </row>
    <row r="500" spans="7:7" ht="13" x14ac:dyDescent="0.15">
      <c r="G500" s="34"/>
    </row>
    <row r="501" spans="7:7" ht="13" x14ac:dyDescent="0.15">
      <c r="G501" s="34"/>
    </row>
    <row r="502" spans="7:7" ht="13" x14ac:dyDescent="0.15">
      <c r="G502" s="34"/>
    </row>
    <row r="503" spans="7:7" ht="13" x14ac:dyDescent="0.15">
      <c r="G503" s="34"/>
    </row>
    <row r="504" spans="7:7" ht="13" x14ac:dyDescent="0.15">
      <c r="G504" s="34"/>
    </row>
    <row r="505" spans="7:7" ht="13" x14ac:dyDescent="0.15">
      <c r="G505" s="34"/>
    </row>
    <row r="506" spans="7:7" ht="13" x14ac:dyDescent="0.15">
      <c r="G506" s="34"/>
    </row>
    <row r="507" spans="7:7" ht="13" x14ac:dyDescent="0.15">
      <c r="G507" s="34"/>
    </row>
    <row r="508" spans="7:7" ht="13" x14ac:dyDescent="0.15">
      <c r="G508" s="34"/>
    </row>
    <row r="509" spans="7:7" ht="13" x14ac:dyDescent="0.15">
      <c r="G509" s="34"/>
    </row>
    <row r="510" spans="7:7" ht="13" x14ac:dyDescent="0.15">
      <c r="G510" s="34"/>
    </row>
    <row r="511" spans="7:7" ht="13" x14ac:dyDescent="0.15">
      <c r="G511" s="34"/>
    </row>
    <row r="512" spans="7:7" ht="13" x14ac:dyDescent="0.15">
      <c r="G512" s="34"/>
    </row>
    <row r="513" spans="7:7" ht="13" x14ac:dyDescent="0.15">
      <c r="G513" s="34"/>
    </row>
    <row r="514" spans="7:7" ht="13" x14ac:dyDescent="0.15">
      <c r="G514" s="34"/>
    </row>
    <row r="515" spans="7:7" ht="13" x14ac:dyDescent="0.15">
      <c r="G515" s="34"/>
    </row>
    <row r="516" spans="7:7" ht="13" x14ac:dyDescent="0.15">
      <c r="G516" s="34"/>
    </row>
    <row r="517" spans="7:7" ht="13" x14ac:dyDescent="0.15">
      <c r="G517" s="34"/>
    </row>
    <row r="518" spans="7:7" ht="13" x14ac:dyDescent="0.15">
      <c r="G518" s="34"/>
    </row>
    <row r="519" spans="7:7" ht="13" x14ac:dyDescent="0.15">
      <c r="G519" s="34"/>
    </row>
    <row r="520" spans="7:7" ht="13" x14ac:dyDescent="0.15">
      <c r="G520" s="34"/>
    </row>
    <row r="521" spans="7:7" ht="13" x14ac:dyDescent="0.15">
      <c r="G521" s="34"/>
    </row>
    <row r="522" spans="7:7" ht="13" x14ac:dyDescent="0.15">
      <c r="G522" s="34"/>
    </row>
    <row r="523" spans="7:7" ht="13" x14ac:dyDescent="0.15">
      <c r="G523" s="34"/>
    </row>
    <row r="524" spans="7:7" ht="13" x14ac:dyDescent="0.15">
      <c r="G524" s="34"/>
    </row>
    <row r="525" spans="7:7" ht="13" x14ac:dyDescent="0.15">
      <c r="G525" s="34"/>
    </row>
    <row r="526" spans="7:7" ht="13" x14ac:dyDescent="0.15">
      <c r="G526" s="34"/>
    </row>
    <row r="527" spans="7:7" ht="13" x14ac:dyDescent="0.15">
      <c r="G527" s="34"/>
    </row>
    <row r="528" spans="7:7" ht="13" x14ac:dyDescent="0.15">
      <c r="G528" s="34"/>
    </row>
    <row r="529" spans="7:7" ht="13" x14ac:dyDescent="0.15">
      <c r="G529" s="34"/>
    </row>
    <row r="530" spans="7:7" ht="13" x14ac:dyDescent="0.15">
      <c r="G530" s="34"/>
    </row>
    <row r="531" spans="7:7" ht="13" x14ac:dyDescent="0.15">
      <c r="G531" s="34"/>
    </row>
    <row r="532" spans="7:7" ht="13" x14ac:dyDescent="0.15">
      <c r="G532" s="34"/>
    </row>
    <row r="533" spans="7:7" ht="13" x14ac:dyDescent="0.15">
      <c r="G533" s="34"/>
    </row>
    <row r="534" spans="7:7" ht="13" x14ac:dyDescent="0.15">
      <c r="G534" s="34"/>
    </row>
    <row r="535" spans="7:7" ht="13" x14ac:dyDescent="0.15">
      <c r="G535" s="34"/>
    </row>
    <row r="536" spans="7:7" ht="13" x14ac:dyDescent="0.15">
      <c r="G536" s="34"/>
    </row>
    <row r="537" spans="7:7" ht="13" x14ac:dyDescent="0.15">
      <c r="G537" s="34"/>
    </row>
    <row r="538" spans="7:7" ht="13" x14ac:dyDescent="0.15">
      <c r="G538" s="34"/>
    </row>
    <row r="539" spans="7:7" ht="13" x14ac:dyDescent="0.15">
      <c r="G539" s="34"/>
    </row>
    <row r="540" spans="7:7" ht="13" x14ac:dyDescent="0.15">
      <c r="G540" s="34"/>
    </row>
    <row r="541" spans="7:7" ht="13" x14ac:dyDescent="0.15">
      <c r="G541" s="34"/>
    </row>
    <row r="542" spans="7:7" ht="13" x14ac:dyDescent="0.15">
      <c r="G542" s="34"/>
    </row>
    <row r="543" spans="7:7" ht="13" x14ac:dyDescent="0.15">
      <c r="G543" s="34"/>
    </row>
    <row r="544" spans="7:7" ht="13" x14ac:dyDescent="0.15">
      <c r="G544" s="34"/>
    </row>
    <row r="545" spans="7:7" ht="13" x14ac:dyDescent="0.15">
      <c r="G545" s="34"/>
    </row>
    <row r="546" spans="7:7" ht="13" x14ac:dyDescent="0.15">
      <c r="G546" s="34"/>
    </row>
    <row r="547" spans="7:7" ht="13" x14ac:dyDescent="0.15">
      <c r="G547" s="34"/>
    </row>
    <row r="548" spans="7:7" ht="13" x14ac:dyDescent="0.15">
      <c r="G548" s="34"/>
    </row>
    <row r="549" spans="7:7" ht="13" x14ac:dyDescent="0.15">
      <c r="G549" s="34"/>
    </row>
    <row r="550" spans="7:7" ht="13" x14ac:dyDescent="0.15">
      <c r="G550" s="34"/>
    </row>
    <row r="551" spans="7:7" ht="13" x14ac:dyDescent="0.15">
      <c r="G551" s="34"/>
    </row>
    <row r="552" spans="7:7" ht="13" x14ac:dyDescent="0.15">
      <c r="G552" s="34"/>
    </row>
    <row r="553" spans="7:7" ht="13" x14ac:dyDescent="0.15">
      <c r="G553" s="34"/>
    </row>
    <row r="554" spans="7:7" ht="13" x14ac:dyDescent="0.15">
      <c r="G554" s="34"/>
    </row>
    <row r="555" spans="7:7" ht="13" x14ac:dyDescent="0.15">
      <c r="G555" s="34"/>
    </row>
    <row r="556" spans="7:7" ht="13" x14ac:dyDescent="0.15">
      <c r="G556" s="34"/>
    </row>
    <row r="557" spans="7:7" ht="13" x14ac:dyDescent="0.15">
      <c r="G557" s="34"/>
    </row>
    <row r="558" spans="7:7" ht="13" x14ac:dyDescent="0.15">
      <c r="G558" s="34"/>
    </row>
    <row r="559" spans="7:7" ht="13" x14ac:dyDescent="0.15">
      <c r="G559" s="34"/>
    </row>
    <row r="560" spans="7:7" ht="13" x14ac:dyDescent="0.15">
      <c r="G560" s="34"/>
    </row>
    <row r="561" spans="7:7" ht="13" x14ac:dyDescent="0.15">
      <c r="G561" s="34"/>
    </row>
    <row r="562" spans="7:7" ht="13" x14ac:dyDescent="0.15">
      <c r="G562" s="34"/>
    </row>
    <row r="563" spans="7:7" ht="13" x14ac:dyDescent="0.15">
      <c r="G563" s="34"/>
    </row>
    <row r="564" spans="7:7" ht="13" x14ac:dyDescent="0.15">
      <c r="G564" s="34"/>
    </row>
    <row r="565" spans="7:7" ht="13" x14ac:dyDescent="0.15">
      <c r="G565" s="34"/>
    </row>
    <row r="566" spans="7:7" ht="13" x14ac:dyDescent="0.15">
      <c r="G566" s="34"/>
    </row>
    <row r="567" spans="7:7" ht="13" x14ac:dyDescent="0.15">
      <c r="G567" s="34"/>
    </row>
    <row r="568" spans="7:7" ht="13" x14ac:dyDescent="0.15">
      <c r="G568" s="34"/>
    </row>
    <row r="569" spans="7:7" ht="13" x14ac:dyDescent="0.15">
      <c r="G569" s="34"/>
    </row>
    <row r="570" spans="7:7" ht="13" x14ac:dyDescent="0.15">
      <c r="G570" s="34"/>
    </row>
    <row r="571" spans="7:7" ht="13" x14ac:dyDescent="0.15">
      <c r="G571" s="34"/>
    </row>
    <row r="572" spans="7:7" ht="13" x14ac:dyDescent="0.15">
      <c r="G572" s="34"/>
    </row>
    <row r="573" spans="7:7" ht="13" x14ac:dyDescent="0.15">
      <c r="G573" s="34"/>
    </row>
    <row r="574" spans="7:7" ht="13" x14ac:dyDescent="0.15">
      <c r="G574" s="34"/>
    </row>
    <row r="575" spans="7:7" ht="13" x14ac:dyDescent="0.15">
      <c r="G575" s="34"/>
    </row>
    <row r="576" spans="7:7" ht="13" x14ac:dyDescent="0.15">
      <c r="G576" s="34"/>
    </row>
    <row r="577" spans="7:7" ht="13" x14ac:dyDescent="0.15">
      <c r="G577" s="34"/>
    </row>
    <row r="578" spans="7:7" ht="13" x14ac:dyDescent="0.15">
      <c r="G578" s="34"/>
    </row>
    <row r="579" spans="7:7" ht="13" x14ac:dyDescent="0.15">
      <c r="G579" s="34"/>
    </row>
    <row r="580" spans="7:7" ht="13" x14ac:dyDescent="0.15">
      <c r="G580" s="34"/>
    </row>
    <row r="581" spans="7:7" ht="13" x14ac:dyDescent="0.15">
      <c r="G581" s="34"/>
    </row>
    <row r="582" spans="7:7" ht="13" x14ac:dyDescent="0.15">
      <c r="G582" s="34"/>
    </row>
    <row r="583" spans="7:7" ht="13" x14ac:dyDescent="0.15">
      <c r="G583" s="34"/>
    </row>
    <row r="584" spans="7:7" ht="13" x14ac:dyDescent="0.15">
      <c r="G584" s="34"/>
    </row>
    <row r="585" spans="7:7" ht="13" x14ac:dyDescent="0.15">
      <c r="G585" s="34"/>
    </row>
    <row r="586" spans="7:7" ht="13" x14ac:dyDescent="0.15">
      <c r="G586" s="34"/>
    </row>
    <row r="587" spans="7:7" ht="13" x14ac:dyDescent="0.15">
      <c r="G587" s="34"/>
    </row>
    <row r="588" spans="7:7" ht="13" x14ac:dyDescent="0.15">
      <c r="G588" s="34"/>
    </row>
    <row r="589" spans="7:7" ht="13" x14ac:dyDescent="0.15">
      <c r="G589" s="34"/>
    </row>
    <row r="590" spans="7:7" ht="13" x14ac:dyDescent="0.15">
      <c r="G590" s="34"/>
    </row>
    <row r="591" spans="7:7" ht="13" x14ac:dyDescent="0.15">
      <c r="G591" s="34"/>
    </row>
    <row r="592" spans="7:7" ht="13" x14ac:dyDescent="0.15">
      <c r="G592" s="34"/>
    </row>
    <row r="593" spans="7:7" ht="13" x14ac:dyDescent="0.15">
      <c r="G593" s="34"/>
    </row>
    <row r="594" spans="7:7" ht="13" x14ac:dyDescent="0.15">
      <c r="G594" s="34"/>
    </row>
    <row r="595" spans="7:7" ht="13" x14ac:dyDescent="0.15">
      <c r="G595" s="34"/>
    </row>
    <row r="596" spans="7:7" ht="13" x14ac:dyDescent="0.15">
      <c r="G596" s="34"/>
    </row>
    <row r="597" spans="7:7" ht="13" x14ac:dyDescent="0.15">
      <c r="G597" s="34"/>
    </row>
    <row r="598" spans="7:7" ht="13" x14ac:dyDescent="0.15">
      <c r="G598" s="34"/>
    </row>
    <row r="599" spans="7:7" ht="13" x14ac:dyDescent="0.15">
      <c r="G599" s="34"/>
    </row>
    <row r="600" spans="7:7" ht="13" x14ac:dyDescent="0.15">
      <c r="G600" s="34"/>
    </row>
    <row r="601" spans="7:7" ht="13" x14ac:dyDescent="0.15">
      <c r="G601" s="34"/>
    </row>
    <row r="602" spans="7:7" ht="13" x14ac:dyDescent="0.15">
      <c r="G602" s="34"/>
    </row>
    <row r="603" spans="7:7" ht="13" x14ac:dyDescent="0.15">
      <c r="G603" s="34"/>
    </row>
    <row r="604" spans="7:7" ht="13" x14ac:dyDescent="0.15">
      <c r="G604" s="34"/>
    </row>
    <row r="605" spans="7:7" ht="13" x14ac:dyDescent="0.15">
      <c r="G605" s="34"/>
    </row>
    <row r="606" spans="7:7" ht="13" x14ac:dyDescent="0.15">
      <c r="G606" s="34"/>
    </row>
    <row r="607" spans="7:7" ht="13" x14ac:dyDescent="0.15">
      <c r="G607" s="34"/>
    </row>
    <row r="608" spans="7:7" ht="13" x14ac:dyDescent="0.15">
      <c r="G608" s="34"/>
    </row>
    <row r="609" spans="7:7" ht="13" x14ac:dyDescent="0.15">
      <c r="G609" s="34"/>
    </row>
    <row r="610" spans="7:7" ht="13" x14ac:dyDescent="0.15">
      <c r="G610" s="34"/>
    </row>
    <row r="611" spans="7:7" ht="13" x14ac:dyDescent="0.15">
      <c r="G611" s="34"/>
    </row>
    <row r="612" spans="7:7" ht="13" x14ac:dyDescent="0.15">
      <c r="G612" s="34"/>
    </row>
    <row r="613" spans="7:7" ht="13" x14ac:dyDescent="0.15">
      <c r="G613" s="34"/>
    </row>
    <row r="614" spans="7:7" ht="13" x14ac:dyDescent="0.15">
      <c r="G614" s="34"/>
    </row>
    <row r="615" spans="7:7" ht="13" x14ac:dyDescent="0.15">
      <c r="G615" s="34"/>
    </row>
    <row r="616" spans="7:7" ht="13" x14ac:dyDescent="0.15">
      <c r="G616" s="34"/>
    </row>
    <row r="617" spans="7:7" ht="13" x14ac:dyDescent="0.15">
      <c r="G617" s="34"/>
    </row>
    <row r="618" spans="7:7" ht="13" x14ac:dyDescent="0.15">
      <c r="G618" s="34"/>
    </row>
    <row r="619" spans="7:7" ht="13" x14ac:dyDescent="0.15">
      <c r="G619" s="34"/>
    </row>
    <row r="620" spans="7:7" ht="13" x14ac:dyDescent="0.15">
      <c r="G620" s="34"/>
    </row>
    <row r="621" spans="7:7" ht="13" x14ac:dyDescent="0.15">
      <c r="G621" s="34"/>
    </row>
    <row r="622" spans="7:7" ht="13" x14ac:dyDescent="0.15">
      <c r="G622" s="34"/>
    </row>
    <row r="623" spans="7:7" ht="13" x14ac:dyDescent="0.15">
      <c r="G623" s="34"/>
    </row>
    <row r="624" spans="7:7" ht="13" x14ac:dyDescent="0.15">
      <c r="G624" s="34"/>
    </row>
    <row r="625" spans="7:7" ht="13" x14ac:dyDescent="0.15">
      <c r="G625" s="34"/>
    </row>
    <row r="626" spans="7:7" ht="13" x14ac:dyDescent="0.15">
      <c r="G626" s="34"/>
    </row>
    <row r="627" spans="7:7" ht="13" x14ac:dyDescent="0.15">
      <c r="G627" s="34"/>
    </row>
    <row r="628" spans="7:7" ht="13" x14ac:dyDescent="0.15">
      <c r="G628" s="34"/>
    </row>
    <row r="629" spans="7:7" ht="13" x14ac:dyDescent="0.15">
      <c r="G629" s="34"/>
    </row>
    <row r="630" spans="7:7" ht="13" x14ac:dyDescent="0.15">
      <c r="G630" s="34"/>
    </row>
    <row r="631" spans="7:7" ht="13" x14ac:dyDescent="0.15">
      <c r="G631" s="34"/>
    </row>
    <row r="632" spans="7:7" ht="13" x14ac:dyDescent="0.15">
      <c r="G632" s="34"/>
    </row>
    <row r="633" spans="7:7" ht="13" x14ac:dyDescent="0.15">
      <c r="G633" s="34"/>
    </row>
    <row r="634" spans="7:7" ht="13" x14ac:dyDescent="0.15">
      <c r="G634" s="34"/>
    </row>
    <row r="635" spans="7:7" ht="13" x14ac:dyDescent="0.15">
      <c r="G635" s="34"/>
    </row>
    <row r="636" spans="7:7" ht="13" x14ac:dyDescent="0.15">
      <c r="G636" s="34"/>
    </row>
    <row r="637" spans="7:7" ht="13" x14ac:dyDescent="0.15">
      <c r="G637" s="34"/>
    </row>
    <row r="638" spans="7:7" ht="13" x14ac:dyDescent="0.15">
      <c r="G638" s="34"/>
    </row>
    <row r="639" spans="7:7" ht="13" x14ac:dyDescent="0.15">
      <c r="G639" s="34"/>
    </row>
    <row r="640" spans="7:7" ht="13" x14ac:dyDescent="0.15">
      <c r="G640" s="34"/>
    </row>
    <row r="641" spans="7:7" ht="13" x14ac:dyDescent="0.15">
      <c r="G641" s="34"/>
    </row>
    <row r="642" spans="7:7" ht="13" x14ac:dyDescent="0.15">
      <c r="G642" s="34"/>
    </row>
    <row r="643" spans="7:7" ht="13" x14ac:dyDescent="0.15">
      <c r="G643" s="34"/>
    </row>
    <row r="644" spans="7:7" ht="13" x14ac:dyDescent="0.15">
      <c r="G644" s="34"/>
    </row>
    <row r="645" spans="7:7" ht="13" x14ac:dyDescent="0.15">
      <c r="G645" s="34"/>
    </row>
    <row r="646" spans="7:7" ht="13" x14ac:dyDescent="0.15">
      <c r="G646" s="34"/>
    </row>
    <row r="647" spans="7:7" ht="13" x14ac:dyDescent="0.15">
      <c r="G647" s="34"/>
    </row>
    <row r="648" spans="7:7" ht="13" x14ac:dyDescent="0.15">
      <c r="G648" s="34"/>
    </row>
    <row r="649" spans="7:7" ht="13" x14ac:dyDescent="0.15">
      <c r="G649" s="34"/>
    </row>
    <row r="650" spans="7:7" ht="13" x14ac:dyDescent="0.15">
      <c r="G650" s="34"/>
    </row>
    <row r="651" spans="7:7" ht="13" x14ac:dyDescent="0.15">
      <c r="G651" s="34"/>
    </row>
    <row r="652" spans="7:7" ht="13" x14ac:dyDescent="0.15">
      <c r="G652" s="34"/>
    </row>
    <row r="653" spans="7:7" ht="13" x14ac:dyDescent="0.15">
      <c r="G653" s="34"/>
    </row>
    <row r="654" spans="7:7" ht="13" x14ac:dyDescent="0.15">
      <c r="G654" s="34"/>
    </row>
    <row r="655" spans="7:7" ht="13" x14ac:dyDescent="0.15">
      <c r="G655" s="34"/>
    </row>
    <row r="656" spans="7:7" ht="13" x14ac:dyDescent="0.15">
      <c r="G656" s="34"/>
    </row>
    <row r="657" spans="7:7" ht="13" x14ac:dyDescent="0.15">
      <c r="G657" s="34"/>
    </row>
    <row r="658" spans="7:7" ht="13" x14ac:dyDescent="0.15">
      <c r="G658" s="34"/>
    </row>
    <row r="659" spans="7:7" ht="13" x14ac:dyDescent="0.15">
      <c r="G659" s="34"/>
    </row>
    <row r="660" spans="7:7" ht="13" x14ac:dyDescent="0.15">
      <c r="G660" s="34"/>
    </row>
    <row r="661" spans="7:7" ht="13" x14ac:dyDescent="0.15">
      <c r="G661" s="34"/>
    </row>
    <row r="662" spans="7:7" ht="13" x14ac:dyDescent="0.15">
      <c r="G662" s="34"/>
    </row>
    <row r="663" spans="7:7" ht="13" x14ac:dyDescent="0.15">
      <c r="G663" s="34"/>
    </row>
    <row r="664" spans="7:7" ht="13" x14ac:dyDescent="0.15">
      <c r="G664" s="34"/>
    </row>
    <row r="665" spans="7:7" ht="13" x14ac:dyDescent="0.15">
      <c r="G665" s="34"/>
    </row>
    <row r="666" spans="7:7" ht="13" x14ac:dyDescent="0.15">
      <c r="G666" s="34"/>
    </row>
    <row r="667" spans="7:7" ht="13" x14ac:dyDescent="0.15">
      <c r="G667" s="34"/>
    </row>
    <row r="668" spans="7:7" ht="13" x14ac:dyDescent="0.15">
      <c r="G668" s="34"/>
    </row>
    <row r="669" spans="7:7" ht="13" x14ac:dyDescent="0.15">
      <c r="G669" s="34"/>
    </row>
    <row r="670" spans="7:7" ht="13" x14ac:dyDescent="0.15">
      <c r="G670" s="34"/>
    </row>
    <row r="671" spans="7:7" ht="13" x14ac:dyDescent="0.15">
      <c r="G671" s="34"/>
    </row>
    <row r="672" spans="7:7" ht="13" x14ac:dyDescent="0.15">
      <c r="G672" s="34"/>
    </row>
    <row r="673" spans="7:7" ht="13" x14ac:dyDescent="0.15">
      <c r="G673" s="34"/>
    </row>
    <row r="674" spans="7:7" ht="13" x14ac:dyDescent="0.15">
      <c r="G674" s="34"/>
    </row>
    <row r="675" spans="7:7" ht="13" x14ac:dyDescent="0.15">
      <c r="G675" s="34"/>
    </row>
    <row r="676" spans="7:7" ht="13" x14ac:dyDescent="0.15">
      <c r="G676" s="34"/>
    </row>
    <row r="677" spans="7:7" ht="13" x14ac:dyDescent="0.15">
      <c r="G677" s="34"/>
    </row>
    <row r="678" spans="7:7" ht="13" x14ac:dyDescent="0.15">
      <c r="G678" s="34"/>
    </row>
    <row r="679" spans="7:7" ht="13" x14ac:dyDescent="0.15">
      <c r="G679" s="34"/>
    </row>
    <row r="680" spans="7:7" ht="13" x14ac:dyDescent="0.15">
      <c r="G680" s="34"/>
    </row>
    <row r="681" spans="7:7" ht="13" x14ac:dyDescent="0.15">
      <c r="G681" s="34"/>
    </row>
    <row r="682" spans="7:7" ht="13" x14ac:dyDescent="0.15">
      <c r="G682" s="34"/>
    </row>
    <row r="683" spans="7:7" ht="13" x14ac:dyDescent="0.15">
      <c r="G683" s="34"/>
    </row>
    <row r="684" spans="7:7" ht="13" x14ac:dyDescent="0.15">
      <c r="G684" s="34"/>
    </row>
    <row r="685" spans="7:7" ht="13" x14ac:dyDescent="0.15">
      <c r="G685" s="34"/>
    </row>
    <row r="686" spans="7:7" ht="13" x14ac:dyDescent="0.15">
      <c r="G686" s="34"/>
    </row>
    <row r="687" spans="7:7" ht="13" x14ac:dyDescent="0.15">
      <c r="G687" s="34"/>
    </row>
    <row r="688" spans="7:7" ht="13" x14ac:dyDescent="0.15">
      <c r="G688" s="34"/>
    </row>
    <row r="689" spans="7:7" ht="13" x14ac:dyDescent="0.15">
      <c r="G689" s="34"/>
    </row>
    <row r="690" spans="7:7" ht="13" x14ac:dyDescent="0.15">
      <c r="G690" s="34"/>
    </row>
    <row r="691" spans="7:7" ht="13" x14ac:dyDescent="0.15">
      <c r="G691" s="34"/>
    </row>
    <row r="692" spans="7:7" ht="13" x14ac:dyDescent="0.15">
      <c r="G692" s="34"/>
    </row>
    <row r="693" spans="7:7" ht="13" x14ac:dyDescent="0.15">
      <c r="G693" s="34"/>
    </row>
    <row r="694" spans="7:7" ht="13" x14ac:dyDescent="0.15">
      <c r="G694" s="34"/>
    </row>
    <row r="695" spans="7:7" ht="13" x14ac:dyDescent="0.15">
      <c r="G695" s="34"/>
    </row>
    <row r="696" spans="7:7" ht="13" x14ac:dyDescent="0.15">
      <c r="G696" s="34"/>
    </row>
    <row r="697" spans="7:7" ht="13" x14ac:dyDescent="0.15">
      <c r="G697" s="34"/>
    </row>
    <row r="698" spans="7:7" ht="13" x14ac:dyDescent="0.15">
      <c r="G698" s="34"/>
    </row>
    <row r="699" spans="7:7" ht="13" x14ac:dyDescent="0.15">
      <c r="G699" s="34"/>
    </row>
    <row r="700" spans="7:7" ht="13" x14ac:dyDescent="0.15">
      <c r="G700" s="34"/>
    </row>
    <row r="701" spans="7:7" ht="13" x14ac:dyDescent="0.15">
      <c r="G701" s="34"/>
    </row>
    <row r="702" spans="7:7" ht="13" x14ac:dyDescent="0.15">
      <c r="G702" s="34"/>
    </row>
    <row r="703" spans="7:7" ht="13" x14ac:dyDescent="0.15">
      <c r="G703" s="34"/>
    </row>
    <row r="704" spans="7:7" ht="13" x14ac:dyDescent="0.15">
      <c r="G704" s="34"/>
    </row>
    <row r="705" spans="7:7" ht="13" x14ac:dyDescent="0.15">
      <c r="G705" s="34"/>
    </row>
    <row r="706" spans="7:7" ht="13" x14ac:dyDescent="0.15">
      <c r="G706" s="34"/>
    </row>
    <row r="707" spans="7:7" ht="13" x14ac:dyDescent="0.15">
      <c r="G707" s="34"/>
    </row>
    <row r="708" spans="7:7" ht="13" x14ac:dyDescent="0.15">
      <c r="G708" s="34"/>
    </row>
    <row r="709" spans="7:7" ht="13" x14ac:dyDescent="0.15">
      <c r="G709" s="34"/>
    </row>
    <row r="710" spans="7:7" ht="13" x14ac:dyDescent="0.15">
      <c r="G710" s="34"/>
    </row>
    <row r="711" spans="7:7" ht="13" x14ac:dyDescent="0.15">
      <c r="G711" s="34"/>
    </row>
    <row r="712" spans="7:7" ht="13" x14ac:dyDescent="0.15">
      <c r="G712" s="34"/>
    </row>
    <row r="713" spans="7:7" ht="13" x14ac:dyDescent="0.15">
      <c r="G713" s="34"/>
    </row>
    <row r="714" spans="7:7" ht="13" x14ac:dyDescent="0.15">
      <c r="G714" s="34"/>
    </row>
    <row r="715" spans="7:7" ht="13" x14ac:dyDescent="0.15">
      <c r="G715" s="34"/>
    </row>
    <row r="716" spans="7:7" ht="13" x14ac:dyDescent="0.15">
      <c r="G716" s="34"/>
    </row>
    <row r="717" spans="7:7" ht="13" x14ac:dyDescent="0.15">
      <c r="G717" s="34"/>
    </row>
    <row r="718" spans="7:7" ht="13" x14ac:dyDescent="0.15">
      <c r="G718" s="34"/>
    </row>
    <row r="719" spans="7:7" ht="13" x14ac:dyDescent="0.15">
      <c r="G719" s="34"/>
    </row>
    <row r="720" spans="7:7" ht="13" x14ac:dyDescent="0.15">
      <c r="G720" s="34"/>
    </row>
    <row r="721" spans="7:7" ht="13" x14ac:dyDescent="0.15">
      <c r="G721" s="34"/>
    </row>
    <row r="722" spans="7:7" ht="13" x14ac:dyDescent="0.15">
      <c r="G722" s="34"/>
    </row>
    <row r="723" spans="7:7" ht="13" x14ac:dyDescent="0.15">
      <c r="G723" s="34"/>
    </row>
    <row r="724" spans="7:7" ht="13" x14ac:dyDescent="0.15">
      <c r="G724" s="34"/>
    </row>
    <row r="725" spans="7:7" ht="13" x14ac:dyDescent="0.15">
      <c r="G725" s="34"/>
    </row>
    <row r="726" spans="7:7" ht="13" x14ac:dyDescent="0.15">
      <c r="G726" s="34"/>
    </row>
    <row r="727" spans="7:7" ht="13" x14ac:dyDescent="0.15">
      <c r="G727" s="34"/>
    </row>
    <row r="728" spans="7:7" ht="13" x14ac:dyDescent="0.15">
      <c r="G728" s="34"/>
    </row>
    <row r="729" spans="7:7" ht="13" x14ac:dyDescent="0.15">
      <c r="G729" s="34"/>
    </row>
    <row r="730" spans="7:7" ht="13" x14ac:dyDescent="0.15">
      <c r="G730" s="34"/>
    </row>
    <row r="731" spans="7:7" ht="13" x14ac:dyDescent="0.15">
      <c r="G731" s="34"/>
    </row>
    <row r="732" spans="7:7" ht="13" x14ac:dyDescent="0.15">
      <c r="G732" s="34"/>
    </row>
    <row r="733" spans="7:7" ht="13" x14ac:dyDescent="0.15">
      <c r="G733" s="34"/>
    </row>
    <row r="734" spans="7:7" ht="13" x14ac:dyDescent="0.15">
      <c r="G734" s="34"/>
    </row>
    <row r="735" spans="7:7" ht="13" x14ac:dyDescent="0.15">
      <c r="G735" s="34"/>
    </row>
    <row r="736" spans="7:7" ht="13" x14ac:dyDescent="0.15">
      <c r="G736" s="34"/>
    </row>
    <row r="737" spans="7:7" ht="13" x14ac:dyDescent="0.15">
      <c r="G737" s="34"/>
    </row>
    <row r="738" spans="7:7" ht="13" x14ac:dyDescent="0.15">
      <c r="G738" s="34"/>
    </row>
    <row r="739" spans="7:7" ht="13" x14ac:dyDescent="0.15">
      <c r="G739" s="34"/>
    </row>
    <row r="740" spans="7:7" ht="13" x14ac:dyDescent="0.15">
      <c r="G740" s="34"/>
    </row>
    <row r="741" spans="7:7" ht="13" x14ac:dyDescent="0.15">
      <c r="G741" s="34"/>
    </row>
    <row r="742" spans="7:7" ht="13" x14ac:dyDescent="0.15">
      <c r="G742" s="34"/>
    </row>
    <row r="743" spans="7:7" ht="13" x14ac:dyDescent="0.15">
      <c r="G743" s="34"/>
    </row>
  </sheetData>
  <printOptions horizontalCentered="1" gridLines="1"/>
  <pageMargins left="0.7" right="0.7" top="0.75" bottom="0.75" header="0" footer="0"/>
  <pageSetup paperSize="9" fitToHeight="0" pageOrder="overThenDown" orientation="portrait" cellComments="atEnd"/>
  <headerFooter>
    <oddHeader>&amp;L&amp;"Aptos"&amp;10&amp;K000000 UWASA - Luottamuksellinen - Confidential (3Y)&amp;1#_x000D_</oddHeader>
  </headerFooter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food waste school meals 2024-25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Arja Kuusisto</cp:lastModifiedBy>
  <dcterms:created xsi:type="dcterms:W3CDTF">2026-06-22T14:26:12Z</dcterms:created>
  <dcterms:modified xsi:type="dcterms:W3CDTF">2026-06-23T11:29:42Z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899e5b-297d-4d73-bc97-adc2ecfe684e_Enabled">
    <vt:lpwstr>true</vt:lpwstr>
  </property>
  <property fmtid="{D5CDD505-2E9C-101B-9397-08002B2CF9AE}" pid="3" name="MSIP_Label_de899e5b-297d-4d73-bc97-adc2ecfe684e_SetDate">
    <vt:lpwstr>2026-06-22T14:26:12Z</vt:lpwstr>
  </property>
  <property fmtid="{D5CDD505-2E9C-101B-9397-08002B2CF9AE}" pid="4" name="MSIP_Label_de899e5b-297d-4d73-bc97-adc2ecfe684e_Method">
    <vt:lpwstr>Standard</vt:lpwstr>
  </property>
  <property fmtid="{D5CDD505-2E9C-101B-9397-08002B2CF9AE}" pid="5" name="MSIP_Label_de899e5b-297d-4d73-bc97-adc2ecfe684e_Name">
    <vt:lpwstr>1780b3f9-0a3b-4d65-bd2a-d659c444731b</vt:lpwstr>
  </property>
  <property fmtid="{D5CDD505-2E9C-101B-9397-08002B2CF9AE}" pid="6" name="MSIP_Label_de899e5b-297d-4d73-bc97-adc2ecfe684e_SiteId">
    <vt:lpwstr>f0c6a041-90a2-4a87-8c82-4c8c17312ba2</vt:lpwstr>
  </property>
  <property fmtid="{D5CDD505-2E9C-101B-9397-08002B2CF9AE}" pid="7" name="MSIP_Label_de899e5b-297d-4d73-bc97-adc2ecfe684e_ActionId">
    <vt:lpwstr>a407131a-bbcf-44ab-b31d-51389081fda4</vt:lpwstr>
  </property>
  <property fmtid="{D5CDD505-2E9C-101B-9397-08002B2CF9AE}" pid="8" name="MSIP_Label_de899e5b-297d-4d73-bc97-adc2ecfe684e_ContentBits">
    <vt:lpwstr>1</vt:lpwstr>
  </property>
  <property fmtid="{D5CDD505-2E9C-101B-9397-08002B2CF9AE}" pid="9" name="MSIP_Label_de899e5b-297d-4d73-bc97-adc2ecfe684e_Tag">
    <vt:lpwstr>50, 3, 0, 1</vt:lpwstr>
  </property>
</Properties>
</file>